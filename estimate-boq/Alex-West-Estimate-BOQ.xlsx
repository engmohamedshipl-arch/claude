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BOQ" sheetId="3" state="visible" r:id="rId5"/>
    <sheet name="Inputs" sheetId="4" state="visible" r:id="rId6"/>
    <sheet name="Take-off" sheetId="5" state="visible" r:id="rId7"/>
    <sheet name="Structures" sheetId="6" state="visible" r:id="rId8"/>
    <sheet name="Pipes" sheetId="7" state="visible" r:id="rId9"/>
    <sheet name="Exclusions" sheetId="8" state="visible" r:id="rId10"/>
  </sheets>
  <definedNames>
    <definedName function="false" hidden="true" localSheetId="4" name="_xlnm._FilterDatabase" vbProcedure="false">'Take-off'!$A$4:$J$334</definedName>
    <definedName function="false" hidden="false" name="CURRENCY" vbProcedure="false">Inputs!$C$6</definedName>
    <definedName function="false" hidden="false" name="FL" vbProcedure="false">Inputs!$C$8</definedName>
    <definedName function="false" hidden="false" name="NG" vbProcedure="false">Inputs!$C$7</definedName>
    <definedName function="false" hidden="false" name="PILE_DENS" vbProcedure="false">Inputs!$C$13</definedName>
    <definedName function="false" hidden="false" name="RAILS_PER_RUN" vbProcedure="false">Inputs!$C$25</definedName>
    <definedName function="false" hidden="false" name="RR_BASE" vbProcedure="false">Inputs!$C$15</definedName>
    <definedName function="false" hidden="false" name="RR_BRIDGE" vbProcedure="false">Inputs!$C$21</definedName>
    <definedName function="false" hidden="false" name="RR_COLBEAM" vbProcedure="false">Inputs!$C$18</definedName>
    <definedName function="false" hidden="false" name="RR_MISC" vbProcedure="false">Inputs!$C$19</definedName>
    <definedName function="false" hidden="false" name="RR_PIPESLAB" vbProcedure="false">Inputs!$C$22</definedName>
    <definedName function="false" hidden="false" name="RR_PLINTH" vbProcedure="false">Inputs!$C$20</definedName>
    <definedName function="false" hidden="false" name="RR_SLAB" vbProcedure="false">Inputs!$C$17</definedName>
    <definedName function="false" hidden="false" name="RR_WALL" vbProcedure="false">Inputs!$C$16</definedName>
    <definedName function="false" hidden="false" name="SITE_AREA" vbProcedure="false">Inputs!$C$30</definedName>
    <definedName function="false" hidden="false" name="SITE_DEDUCT" vbProcedure="false">Inputs!$C$31</definedName>
    <definedName function="false" hidden="false" name="SLOPE_STR" vbProcedure="false">Inputs!$C$11</definedName>
    <definedName function="false" hidden="false" name="STEEL_DENS" vbProcedure="false">Inputs!$C$24</definedName>
    <definedName function="false" hidden="false" name="SURR_ABOVE" vbProcedure="false">Inputs!$C$28</definedName>
    <definedName function="false" hidden="false" name="WS_PIPE" vbProcedure="false">Inputs!$C$27</definedName>
    <definedName function="false" hidden="false" name="WS_STR" vbProcedure="false">Inputs!$C$10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<sst xmlns="http://schemas.openxmlformats.org/spreadsheetml/2006/main" count="4088" uniqueCount="1018">
  <si>
    <t xml:space="preserve">Alex West WWTP - estimate bill of quantities</t>
  </si>
  <si>
    <t xml:space="preserve">Prepared 22 Oct 2026 by Claude for Mohamed. Quantity estimate from the available model and workbooks; not a priced or tender BOQ.</t>
  </si>
  <si>
    <t xml:space="preserve">Sources</t>
  </si>
  <si>
    <t xml:space="preserve">1. 3D coordination model Alex-West-Combined-Coordination.blend (19 Oct 2026): 15,195 closed meshes for 23 structure types (34 structures incl. typical copies); element volumes, face areas, levels, pile stubs.</t>
  </si>
  <si>
    <t xml:space="preserve">2. Pipe execution packages v3 (21 Oct 2026): 45 lines, lengths, sizes, fittings, crossings.</t>
  </si>
  <si>
    <t xml:space="preserve">3. Pipe sequence and methodology workbook (22 Oct 2026): GWL -1.50, sheet piles, dewatering, piled slabs, flotation.</t>
  </si>
  <si>
    <t xml:space="preserve">Method</t>
  </si>
  <si>
    <t xml:space="preserve">Every model element is classified by its name and category into a BOQ class (blinding, RC base / wall / slab / column-beam / misc / plinth, mass fill, steel, grating, handrails, stairs, piles, equipment, water). Water surfaces are excluded.</t>
  </si>
  <si>
    <t xml:space="preserve">Concrete = closed-solid volume. Formwork = vertical faces + soffits of elevated slabs/beams/secondary elements. Reinforcement = volume x ratio. Excavation = offset prism from footprint below NG.</t>
  </si>
  <si>
    <t xml:space="preserve">Sheets</t>
  </si>
  <si>
    <t xml:space="preserve">Summary - totals per bill and key quantities; BOQ - priced bill (enter rates); Inputs - assumptions; Take-off - model data per structure and class; Structures - footprints, excavation, backfill, piles; Pipes - per-line pipe quantities; Exclusions - what is not covered.</t>
  </si>
  <si>
    <t xml:space="preserve">Confidence</t>
  </si>
  <si>
    <t xml:space="preserve">B = structural model or detailed design source (aeration Rev02, FST DD-004, pipe lines). C = civil-guide or provisional envelope. D = tender envelope, placeholder or allowance.</t>
  </si>
  <si>
    <t xml:space="preserve">Colour key</t>
  </si>
  <si>
    <t xml:space="preserve">Blue = source data; black = formula; yellow = enter / edit.</t>
  </si>
  <si>
    <t xml:space="preserve">Alex West WWTP - estimate BOQ summary</t>
  </si>
  <si>
    <t xml:space="preserve">Amounts fill in as rates are entered on the BOQ sheet. Key quantities are totals of the BOQ by code.</t>
  </si>
  <si>
    <t xml:space="preserve">Bill</t>
  </si>
  <si>
    <t xml:space="preserve">Description</t>
  </si>
  <si>
    <t xml:space="preserve">Amount</t>
  </si>
  <si>
    <t xml:space="preserve">Share</t>
  </si>
  <si>
    <t xml:space="preserve">01</t>
  </si>
  <si>
    <t xml:space="preserve">Grit removal and fine screens</t>
  </si>
  <si>
    <t xml:space="preserve">02</t>
  </si>
  <si>
    <t xml:space="preserve">Primary sedimentation tanks (8 basins)</t>
  </si>
  <si>
    <t xml:space="preserve">03</t>
  </si>
  <si>
    <t xml:space="preserve">Intermediate pumping station incl. shared IPS/RAS motor hall</t>
  </si>
  <si>
    <t xml:space="preserve">04</t>
  </si>
  <si>
    <t xml:space="preserve">Aeration tanks</t>
  </si>
  <si>
    <t xml:space="preserve">05</t>
  </si>
  <si>
    <t xml:space="preserve">Secondary distribution chambers A-C (3 nr)</t>
  </si>
  <si>
    <t xml:space="preserve">06</t>
  </si>
  <si>
    <t xml:space="preserve">Final sedimentation tanks A-L (12 nr)</t>
  </si>
  <si>
    <t xml:space="preserve">07</t>
  </si>
  <si>
    <t xml:space="preserve">RAS/WAS pumping station</t>
  </si>
  <si>
    <t xml:space="preserve">08</t>
  </si>
  <si>
    <t xml:space="preserve">Chlorine contact tank</t>
  </si>
  <si>
    <t xml:space="preserve">09</t>
  </si>
  <si>
    <t xml:space="preserve">Fire / service / cooling water structure</t>
  </si>
  <si>
    <t xml:space="preserve">10</t>
  </si>
  <si>
    <t xml:space="preserve">Air blower building</t>
  </si>
  <si>
    <t xml:space="preserve">11</t>
  </si>
  <si>
    <t xml:space="preserve">Primary sludge thickeners A-D (4 nr)</t>
  </si>
  <si>
    <t xml:space="preserve">12</t>
  </si>
  <si>
    <t xml:space="preserve">Anaerobic digesters 01-08 (8 nr)</t>
  </si>
  <si>
    <t xml:space="preserve">13</t>
  </si>
  <si>
    <t xml:space="preserve">Gas holder plinths 01-04 (4 nr)</t>
  </si>
  <si>
    <t xml:space="preserve">14</t>
  </si>
  <si>
    <t xml:space="preserve">Gas holder blower house</t>
  </si>
  <si>
    <t xml:space="preserve">15</t>
  </si>
  <si>
    <t xml:space="preserve">Digested sludge buildings 01-02 (2 nr)</t>
  </si>
  <si>
    <t xml:space="preserve">16</t>
  </si>
  <si>
    <t xml:space="preserve">Grease pump station</t>
  </si>
  <si>
    <t xml:space="preserve">17</t>
  </si>
  <si>
    <t xml:space="preserve">Scum pump station</t>
  </si>
  <si>
    <t xml:space="preserve">18</t>
  </si>
  <si>
    <t xml:space="preserve">WAS pre-dewatering building</t>
  </si>
  <si>
    <t xml:space="preserve">19</t>
  </si>
  <si>
    <t xml:space="preserve">THP system platform</t>
  </si>
  <si>
    <t xml:space="preserve">20</t>
  </si>
  <si>
    <t xml:space="preserve">Final dewatering building</t>
  </si>
  <si>
    <t xml:space="preserve">21</t>
  </si>
  <si>
    <t xml:space="preserve">CHP building</t>
  </si>
  <si>
    <t xml:space="preserve">22</t>
  </si>
  <si>
    <t xml:space="preserve">Chlorination storage building</t>
  </si>
  <si>
    <t xml:space="preserve">23</t>
  </si>
  <si>
    <t xml:space="preserve">Air blowers power house</t>
  </si>
  <si>
    <t xml:space="preserve">24</t>
  </si>
  <si>
    <t xml:space="preserve">Underground pipework - 45 printed lines, 201 packages (DLU-002 Rev 03)</t>
  </si>
  <si>
    <t xml:space="preserve">25</t>
  </si>
  <si>
    <t xml:space="preserve">Site-wide and provisional items</t>
  </si>
  <si>
    <t xml:space="preserve">Total (excluding preliminaries, M&amp;E, contingency)</t>
  </si>
  <si>
    <t xml:space="preserve">Key quantities</t>
  </si>
  <si>
    <t xml:space="preserve">Code</t>
  </si>
  <si>
    <t xml:space="preserve">Quantity</t>
  </si>
  <si>
    <t xml:space="preserve">Unit</t>
  </si>
  <si>
    <t xml:space="preserve">RC_BASE</t>
  </si>
  <si>
    <t xml:space="preserve">m3</t>
  </si>
  <si>
    <t xml:space="preserve">RC rafts, bases, floors, foundations (incl. pipe slabs)</t>
  </si>
  <si>
    <t xml:space="preserve">RC_WALL</t>
  </si>
  <si>
    <t xml:space="preserve">RC walls</t>
  </si>
  <si>
    <t xml:space="preserve">RC_SLAB</t>
  </si>
  <si>
    <t xml:space="preserve">RC suspended slabs / decks / roofs</t>
  </si>
  <si>
    <t xml:space="preserve">RC_COLBEAM</t>
  </si>
  <si>
    <t xml:space="preserve">RC columns / beams</t>
  </si>
  <si>
    <t xml:space="preserve">RC_MISC</t>
  </si>
  <si>
    <t xml:space="preserve">RC channels, baffles, weirs, chambers</t>
  </si>
  <si>
    <t xml:space="preserve">RC_PLINTH</t>
  </si>
  <si>
    <t xml:space="preserve">RC plinths</t>
  </si>
  <si>
    <t xml:space="preserve">RC_BRIDGE</t>
  </si>
  <si>
    <t xml:space="preserve">RC thickener bridges</t>
  </si>
  <si>
    <t xml:space="preserve">BLINDING</t>
  </si>
  <si>
    <t xml:space="preserve">Blinding</t>
  </si>
  <si>
    <t xml:space="preserve">MASS_FILL</t>
  </si>
  <si>
    <t xml:space="preserve">Mass concrete fill</t>
  </si>
  <si>
    <t xml:space="preserve">FORMWORK</t>
  </si>
  <si>
    <t xml:space="preserve">m2</t>
  </si>
  <si>
    <t xml:space="preserve">Formwork</t>
  </si>
  <si>
    <t xml:space="preserve">REBAR</t>
  </si>
  <si>
    <t xml:space="preserve">t</t>
  </si>
  <si>
    <t xml:space="preserve">Reinforcement</t>
  </si>
  <si>
    <t xml:space="preserve">STEEL</t>
  </si>
  <si>
    <t xml:space="preserve">Structural steel</t>
  </si>
  <si>
    <t xml:space="preserve">PILE</t>
  </si>
  <si>
    <t xml:space="preserve">no.</t>
  </si>
  <si>
    <t xml:space="preserve">Piles 600 mm (model + allowances + pipe placeholder)</t>
  </si>
  <si>
    <t xml:space="preserve">EXC</t>
  </si>
  <si>
    <t xml:space="preserve">Excavation</t>
  </si>
  <si>
    <t xml:space="preserve">BACKFILL</t>
  </si>
  <si>
    <t xml:space="preserve">Backfill</t>
  </si>
  <si>
    <t xml:space="preserve">SHEET</t>
  </si>
  <si>
    <t xml:space="preserve">Temporary sheet piles</t>
  </si>
  <si>
    <t xml:space="preserve">PIPE</t>
  </si>
  <si>
    <t xml:space="preserve">m</t>
  </si>
  <si>
    <t xml:space="preserve">Pipes</t>
  </si>
  <si>
    <t xml:space="preserve">FITTING</t>
  </si>
  <si>
    <t xml:space="preserve">Pipe fittings</t>
  </si>
  <si>
    <t xml:space="preserve">HANDRAIL</t>
  </si>
  <si>
    <t xml:space="preserve">Handrails</t>
  </si>
  <si>
    <t xml:space="preserve">SITEFILL</t>
  </si>
  <si>
    <t xml:space="preserve">Site raising (provisional)</t>
  </si>
  <si>
    <t xml:space="preserve">All RC</t>
  </si>
  <si>
    <t xml:space="preserve">All reinforced concrete</t>
  </si>
  <si>
    <t xml:space="preserve">Cross-checks</t>
  </si>
  <si>
    <t xml:space="preserve">Aeration raft: model vs aeration estimate</t>
  </si>
  <si>
    <t xml:space="preserve">Model RC_BASE for aeration vs 30,012.6 m3 net raft (AW-AER Tracking Documentation, 18 Oct 2026)</t>
  </si>
  <si>
    <t xml:space="preserve">Aeration piles in model vs tracking</t>
  </si>
  <si>
    <t xml:space="preserve">3,672 model piles; 2,079 recorded done, 19 defect, 1,568 pending (17 Oct 2026) - BOQ is gross</t>
  </si>
  <si>
    <t xml:space="preserve">Alex West WWTP - estimate bill of quantities (whole project, from available information)</t>
  </si>
  <si>
    <t xml:space="preserve">Quantities are formulas on the Take-off, Structures and Pipes sheets. Enter rates in the yellow column (currency on Inputs). Confidence: B = structural / detailed model; C = civil-guide or provisional envelope; D = tender envelope, placeholder or allowance.</t>
  </si>
  <si>
    <t xml:space="preserve">Item</t>
  </si>
  <si>
    <t xml:space="preserve">Rate</t>
  </si>
  <si>
    <t xml:space="preserve">Basis / source</t>
  </si>
  <si>
    <t xml:space="preserve">01.01</t>
  </si>
  <si>
    <t xml:space="preserve">Excavation below NG (-0.70) to underside of lowest element, incl. working space and side slopes; dispose / stockpile</t>
  </si>
  <si>
    <t xml:space="preserve">Structures sheet: model footprint and lowest level; WS_STR, SLOPE_STR</t>
  </si>
  <si>
    <t xml:space="preserve">C</t>
  </si>
  <si>
    <t xml:space="preserve">01.02</t>
  </si>
  <si>
    <t xml:space="preserve">Backfill around structure to NG in compacted layers</t>
  </si>
  <si>
    <t xml:space="preserve">Structures sheet</t>
  </si>
  <si>
    <t xml:space="preserve">01.03</t>
  </si>
  <si>
    <t xml:space="preserve">Piles 600 mm diameter (CFA / bored) - length to pile design - ALLOWANCE (no pile layout in model)</t>
  </si>
  <si>
    <t xml:space="preserve">Footprint x PILE_DENS</t>
  </si>
  <si>
    <t xml:space="preserve">D</t>
  </si>
  <si>
    <t xml:space="preserve">01.04</t>
  </si>
  <si>
    <t xml:space="preserve">Mass concrete fill / benching to sloped floors</t>
  </si>
  <si>
    <t xml:space="preserve">Model volume</t>
  </si>
  <si>
    <t xml:space="preserve">01.05</t>
  </si>
  <si>
    <t xml:space="preserve">Reinforced concrete rafts, bases, floors and foundations</t>
  </si>
  <si>
    <t xml:space="preserve">01.06</t>
  </si>
  <si>
    <t xml:space="preserve">Reinforced concrete walls and parapets</t>
  </si>
  <si>
    <t xml:space="preserve">01.07</t>
  </si>
  <si>
    <t xml:space="preserve">Reinforced concrete suspended slabs, decks, roofs and walkways</t>
  </si>
  <si>
    <t xml:space="preserve">01.08</t>
  </si>
  <si>
    <t xml:space="preserve">Reinforced concrete channels, baffles, weirs, chambers, hoppers and secondary elements</t>
  </si>
  <si>
    <t xml:space="preserve">01.09</t>
  </si>
  <si>
    <t xml:space="preserve">Formwork to vertical faces and soffits of elevated elements</t>
  </si>
  <si>
    <t xml:space="preserve">Model face areas</t>
  </si>
  <si>
    <t xml:space="preserve">01.10</t>
  </si>
  <si>
    <t xml:space="preserve">High-yield steel reinforcement</t>
  </si>
  <si>
    <t xml:space="preserve">Concrete volume x ratio (Inputs)</t>
  </si>
  <si>
    <t xml:space="preserve">01.11</t>
  </si>
  <si>
    <t xml:space="preserve">Handrails (run length)</t>
  </si>
  <si>
    <t xml:space="preserve">Model rail members / RAILS_PER_RUN; indicative in model</t>
  </si>
  <si>
    <t xml:space="preserve">01.12</t>
  </si>
  <si>
    <t xml:space="preserve">Stairs, treads, landings and access steps (material to design) - modelled volume</t>
  </si>
  <si>
    <t xml:space="preserve">STAIRS</t>
  </si>
  <si>
    <t xml:space="preserve">Model volume; 38 modelled elements</t>
  </si>
  <si>
    <t xml:space="preserve">02.01</t>
  </si>
  <si>
    <t xml:space="preserve">02.02</t>
  </si>
  <si>
    <t xml:space="preserve">02.03</t>
  </si>
  <si>
    <t xml:space="preserve">02.04</t>
  </si>
  <si>
    <t xml:space="preserve">Plain concrete blinding / screed</t>
  </si>
  <si>
    <t xml:space="preserve">02.05</t>
  </si>
  <si>
    <t xml:space="preserve">02.06</t>
  </si>
  <si>
    <t xml:space="preserve">02.07</t>
  </si>
  <si>
    <t xml:space="preserve">02.08</t>
  </si>
  <si>
    <t xml:space="preserve">02.09</t>
  </si>
  <si>
    <t xml:space="preserve">Reinforced concrete columns, beams and piers</t>
  </si>
  <si>
    <t xml:space="preserve">02.10</t>
  </si>
  <si>
    <t xml:space="preserve">02.11</t>
  </si>
  <si>
    <t xml:space="preserve">02.12</t>
  </si>
  <si>
    <t xml:space="preserve">02.13</t>
  </si>
  <si>
    <t xml:space="preserve">02.14</t>
  </si>
  <si>
    <t xml:space="preserve">Model volume; 90 modelled elements</t>
  </si>
  <si>
    <t xml:space="preserve">03.01</t>
  </si>
  <si>
    <t xml:space="preserve">03.02</t>
  </si>
  <si>
    <t xml:space="preserve">03.03</t>
  </si>
  <si>
    <t xml:space="preserve">03.04</t>
  </si>
  <si>
    <t xml:space="preserve">03.05</t>
  </si>
  <si>
    <t xml:space="preserve">03.06</t>
  </si>
  <si>
    <t xml:space="preserve">03.07</t>
  </si>
  <si>
    <t xml:space="preserve">03.08</t>
  </si>
  <si>
    <t xml:space="preserve">03.09</t>
  </si>
  <si>
    <t xml:space="preserve">03.10</t>
  </si>
  <si>
    <t xml:space="preserve">Model volume; 330 modelled elements</t>
  </si>
  <si>
    <t xml:space="preserve">04.01</t>
  </si>
  <si>
    <t xml:space="preserve">B</t>
  </si>
  <si>
    <t xml:space="preserve">04.02</t>
  </si>
  <si>
    <t xml:space="preserve">04.03</t>
  </si>
  <si>
    <t xml:space="preserve">Piles 600 mm diameter (CFA / bored) - length to pile design</t>
  </si>
  <si>
    <t xml:space="preserve">Model pile count</t>
  </si>
  <si>
    <t xml:space="preserve">04.04</t>
  </si>
  <si>
    <t xml:space="preserve">04.05</t>
  </si>
  <si>
    <t xml:space="preserve">04.06</t>
  </si>
  <si>
    <t xml:space="preserve">04.07</t>
  </si>
  <si>
    <t xml:space="preserve">04.08</t>
  </si>
  <si>
    <t xml:space="preserve">04.09</t>
  </si>
  <si>
    <t xml:space="preserve">04.10</t>
  </si>
  <si>
    <t xml:space="preserve">04.11</t>
  </si>
  <si>
    <t xml:space="preserve">04.12</t>
  </si>
  <si>
    <t xml:space="preserve">Model volume; 15 modelled elements</t>
  </si>
  <si>
    <t xml:space="preserve">05.01</t>
  </si>
  <si>
    <t xml:space="preserve">05.02</t>
  </si>
  <si>
    <t xml:space="preserve">05.03</t>
  </si>
  <si>
    <t xml:space="preserve">05.04</t>
  </si>
  <si>
    <t xml:space="preserve">05.05</t>
  </si>
  <si>
    <t xml:space="preserve">05.06</t>
  </si>
  <si>
    <t xml:space="preserve">05.07</t>
  </si>
  <si>
    <t xml:space="preserve">05.08</t>
  </si>
  <si>
    <t xml:space="preserve">05.09</t>
  </si>
  <si>
    <t xml:space="preserve">05.10</t>
  </si>
  <si>
    <t xml:space="preserve">05.11</t>
  </si>
  <si>
    <t xml:space="preserve">05.12</t>
  </si>
  <si>
    <t xml:space="preserve">Model volume; 6 modelled elements</t>
  </si>
  <si>
    <t xml:space="preserve">06.01</t>
  </si>
  <si>
    <t xml:space="preserve">06.02</t>
  </si>
  <si>
    <t xml:space="preserve">06.03</t>
  </si>
  <si>
    <t xml:space="preserve">Model pile count (FST stubs are placeholders)</t>
  </si>
  <si>
    <t xml:space="preserve">06.04</t>
  </si>
  <si>
    <t xml:space="preserve">06.05</t>
  </si>
  <si>
    <t xml:space="preserve">06.06</t>
  </si>
  <si>
    <t xml:space="preserve">06.07</t>
  </si>
  <si>
    <t xml:space="preserve">06.08</t>
  </si>
  <si>
    <t xml:space="preserve">06.09</t>
  </si>
  <si>
    <t xml:space="preserve">06.10</t>
  </si>
  <si>
    <t xml:space="preserve">06.11</t>
  </si>
  <si>
    <t xml:space="preserve">06.12</t>
  </si>
  <si>
    <t xml:space="preserve">Model volume; 348 modelled elements</t>
  </si>
  <si>
    <t xml:space="preserve">07.01</t>
  </si>
  <si>
    <t xml:space="preserve">07.02</t>
  </si>
  <si>
    <t xml:space="preserve">07.03</t>
  </si>
  <si>
    <t xml:space="preserve">07.04</t>
  </si>
  <si>
    <t xml:space="preserve">07.05</t>
  </si>
  <si>
    <t xml:space="preserve">07.06</t>
  </si>
  <si>
    <t xml:space="preserve">07.07</t>
  </si>
  <si>
    <t xml:space="preserve">07.08</t>
  </si>
  <si>
    <t xml:space="preserve">08.01</t>
  </si>
  <si>
    <t xml:space="preserve">08.02</t>
  </si>
  <si>
    <t xml:space="preserve">08.03</t>
  </si>
  <si>
    <t xml:space="preserve">08.04</t>
  </si>
  <si>
    <t xml:space="preserve">08.05</t>
  </si>
  <si>
    <t xml:space="preserve">08.06</t>
  </si>
  <si>
    <t xml:space="preserve">08.07</t>
  </si>
  <si>
    <t xml:space="preserve">08.08</t>
  </si>
  <si>
    <t xml:space="preserve">08.09</t>
  </si>
  <si>
    <t xml:space="preserve">08.10</t>
  </si>
  <si>
    <t xml:space="preserve">08.11</t>
  </si>
  <si>
    <t xml:space="preserve">08.12</t>
  </si>
  <si>
    <t xml:space="preserve">Model volume; 127 modelled elements</t>
  </si>
  <si>
    <t xml:space="preserve">09.01</t>
  </si>
  <si>
    <t xml:space="preserve">09.02</t>
  </si>
  <si>
    <t xml:space="preserve">09.03</t>
  </si>
  <si>
    <t xml:space="preserve">09.04</t>
  </si>
  <si>
    <t xml:space="preserve">09.05</t>
  </si>
  <si>
    <t xml:space="preserve">09.06</t>
  </si>
  <si>
    <t xml:space="preserve">09.07</t>
  </si>
  <si>
    <t xml:space="preserve">09.08</t>
  </si>
  <si>
    <t xml:space="preserve">09.09</t>
  </si>
  <si>
    <t xml:space="preserve">Reinforced concrete equipment plinths and pads</t>
  </si>
  <si>
    <t xml:space="preserve">09.10</t>
  </si>
  <si>
    <t xml:space="preserve">09.11</t>
  </si>
  <si>
    <t xml:space="preserve">09.12</t>
  </si>
  <si>
    <t xml:space="preserve">09.13</t>
  </si>
  <si>
    <t xml:space="preserve">Model volume; 9 modelled elements</t>
  </si>
  <si>
    <t xml:space="preserve">09.14</t>
  </si>
  <si>
    <t xml:space="preserve">Equipment envelopes in model (blowers, cranes) - M&amp;E supply, count for reference</t>
  </si>
  <si>
    <t xml:space="preserve">excluded</t>
  </si>
  <si>
    <t xml:space="preserve">EQUIP</t>
  </si>
  <si>
    <t xml:space="preserve">Model element count</t>
  </si>
  <si>
    <t xml:space="preserve">09.15</t>
  </si>
  <si>
    <t xml:space="preserve">Doors and glazing envelopes in model - architectural, count for reference</t>
  </si>
  <si>
    <t xml:space="preserve">ARCH</t>
  </si>
  <si>
    <t xml:space="preserve">10.01</t>
  </si>
  <si>
    <t xml:space="preserve">10.02</t>
  </si>
  <si>
    <t xml:space="preserve">10.03</t>
  </si>
  <si>
    <t xml:space="preserve">10.04</t>
  </si>
  <si>
    <t xml:space="preserve">10.05</t>
  </si>
  <si>
    <t xml:space="preserve">10.06</t>
  </si>
  <si>
    <t xml:space="preserve">10.07</t>
  </si>
  <si>
    <t xml:space="preserve">10.08</t>
  </si>
  <si>
    <t xml:space="preserve">10.09</t>
  </si>
  <si>
    <t xml:space="preserve">10.10</t>
  </si>
  <si>
    <t xml:space="preserve">10.11</t>
  </si>
  <si>
    <t xml:space="preserve">10.12</t>
  </si>
  <si>
    <t xml:space="preserve">10.13</t>
  </si>
  <si>
    <t xml:space="preserve">10.14</t>
  </si>
  <si>
    <t xml:space="preserve">11.01</t>
  </si>
  <si>
    <t xml:space="preserve">11.02</t>
  </si>
  <si>
    <t xml:space="preserve">11.03</t>
  </si>
  <si>
    <t xml:space="preserve">11.04</t>
  </si>
  <si>
    <t xml:space="preserve">11.05</t>
  </si>
  <si>
    <t xml:space="preserve">11.06</t>
  </si>
  <si>
    <t xml:space="preserve">11.07</t>
  </si>
  <si>
    <t xml:space="preserve">11.08</t>
  </si>
  <si>
    <t xml:space="preserve">11.09</t>
  </si>
  <si>
    <t xml:space="preserve">11.10</t>
  </si>
  <si>
    <t xml:space="preserve">Reinforced concrete bridge carrying the thickener mechanism (beams, verticals, diagonals, bracing as modelled)</t>
  </si>
  <si>
    <t xml:space="preserve">11.11</t>
  </si>
  <si>
    <t xml:space="preserve">11.12</t>
  </si>
  <si>
    <t xml:space="preserve">11.13</t>
  </si>
  <si>
    <t xml:space="preserve">6 mm steel chequer-plate deck on thickener bridge</t>
  </si>
  <si>
    <t xml:space="preserve">GRATING</t>
  </si>
  <si>
    <t xml:space="preserve">Model top area</t>
  </si>
  <si>
    <t xml:space="preserve">11.14</t>
  </si>
  <si>
    <t xml:space="preserve">11.15</t>
  </si>
  <si>
    <t xml:space="preserve">Model volume; 32 modelled elements</t>
  </si>
  <si>
    <t xml:space="preserve">12.01</t>
  </si>
  <si>
    <t xml:space="preserve">12.02</t>
  </si>
  <si>
    <t xml:space="preserve">12.03</t>
  </si>
  <si>
    <t xml:space="preserve">12.04</t>
  </si>
  <si>
    <t xml:space="preserve">12.05</t>
  </si>
  <si>
    <t xml:space="preserve">12.06</t>
  </si>
  <si>
    <t xml:space="preserve">12.07</t>
  </si>
  <si>
    <t xml:space="preserve">12.08</t>
  </si>
  <si>
    <t xml:space="preserve">12.09</t>
  </si>
  <si>
    <t xml:space="preserve">12.10</t>
  </si>
  <si>
    <t xml:space="preserve">12.11</t>
  </si>
  <si>
    <t xml:space="preserve">Model volume; 8 modelled elements</t>
  </si>
  <si>
    <t xml:space="preserve">13.01</t>
  </si>
  <si>
    <t xml:space="preserve">13.02</t>
  </si>
  <si>
    <t xml:space="preserve">13.03</t>
  </si>
  <si>
    <t xml:space="preserve">13.04</t>
  </si>
  <si>
    <t xml:space="preserve">13.05</t>
  </si>
  <si>
    <t xml:space="preserve">13.06</t>
  </si>
  <si>
    <t xml:space="preserve">14.01</t>
  </si>
  <si>
    <t xml:space="preserve">14.02</t>
  </si>
  <si>
    <t xml:space="preserve">14.03</t>
  </si>
  <si>
    <t xml:space="preserve">14.04</t>
  </si>
  <si>
    <t xml:space="preserve">14.05</t>
  </si>
  <si>
    <t xml:space="preserve">14.06</t>
  </si>
  <si>
    <t xml:space="preserve">14.07</t>
  </si>
  <si>
    <t xml:space="preserve">14.08</t>
  </si>
  <si>
    <t xml:space="preserve">14.09</t>
  </si>
  <si>
    <t xml:space="preserve">15.01</t>
  </si>
  <si>
    <t xml:space="preserve">15.02</t>
  </si>
  <si>
    <t xml:space="preserve">15.03</t>
  </si>
  <si>
    <t xml:space="preserve">15.04</t>
  </si>
  <si>
    <t xml:space="preserve">15.05</t>
  </si>
  <si>
    <t xml:space="preserve">15.06</t>
  </si>
  <si>
    <t xml:space="preserve">15.07</t>
  </si>
  <si>
    <t xml:space="preserve">15.08</t>
  </si>
  <si>
    <t xml:space="preserve">15.09</t>
  </si>
  <si>
    <t xml:space="preserve">16.01</t>
  </si>
  <si>
    <t xml:space="preserve">16.02</t>
  </si>
  <si>
    <t xml:space="preserve">16.03</t>
  </si>
  <si>
    <t xml:space="preserve">16.04</t>
  </si>
  <si>
    <t xml:space="preserve">16.05</t>
  </si>
  <si>
    <t xml:space="preserve">16.06</t>
  </si>
  <si>
    <t xml:space="preserve">16.07</t>
  </si>
  <si>
    <t xml:space="preserve">16.08</t>
  </si>
  <si>
    <t xml:space="preserve">16.09</t>
  </si>
  <si>
    <t xml:space="preserve">17.01</t>
  </si>
  <si>
    <t xml:space="preserve">17.02</t>
  </si>
  <si>
    <t xml:space="preserve">17.03</t>
  </si>
  <si>
    <t xml:space="preserve">17.04</t>
  </si>
  <si>
    <t xml:space="preserve">17.05</t>
  </si>
  <si>
    <t xml:space="preserve">17.06</t>
  </si>
  <si>
    <t xml:space="preserve">17.07</t>
  </si>
  <si>
    <t xml:space="preserve">17.08</t>
  </si>
  <si>
    <t xml:space="preserve">17.09</t>
  </si>
  <si>
    <t xml:space="preserve">18.01</t>
  </si>
  <si>
    <t xml:space="preserve">18.02</t>
  </si>
  <si>
    <t xml:space="preserve">18.03</t>
  </si>
  <si>
    <t xml:space="preserve">18.04</t>
  </si>
  <si>
    <t xml:space="preserve">18.05</t>
  </si>
  <si>
    <t xml:space="preserve">18.06</t>
  </si>
  <si>
    <t xml:space="preserve">18.07</t>
  </si>
  <si>
    <t xml:space="preserve">18.08</t>
  </si>
  <si>
    <t xml:space="preserve">18.09</t>
  </si>
  <si>
    <t xml:space="preserve">18.10</t>
  </si>
  <si>
    <t xml:space="preserve">18.11</t>
  </si>
  <si>
    <t xml:space="preserve">19.01</t>
  </si>
  <si>
    <t xml:space="preserve">19.02</t>
  </si>
  <si>
    <t xml:space="preserve">19.03</t>
  </si>
  <si>
    <t xml:space="preserve">19.04</t>
  </si>
  <si>
    <t xml:space="preserve">19.05</t>
  </si>
  <si>
    <t xml:space="preserve">19.06</t>
  </si>
  <si>
    <t xml:space="preserve">20.01</t>
  </si>
  <si>
    <t xml:space="preserve">20.02</t>
  </si>
  <si>
    <t xml:space="preserve">20.03</t>
  </si>
  <si>
    <t xml:space="preserve">20.04</t>
  </si>
  <si>
    <t xml:space="preserve">20.05</t>
  </si>
  <si>
    <t xml:space="preserve">20.06</t>
  </si>
  <si>
    <t xml:space="preserve">20.07</t>
  </si>
  <si>
    <t xml:space="preserve">20.08</t>
  </si>
  <si>
    <t xml:space="preserve">20.09</t>
  </si>
  <si>
    <t xml:space="preserve">20.10</t>
  </si>
  <si>
    <t xml:space="preserve">21.01</t>
  </si>
  <si>
    <t xml:space="preserve">21.02</t>
  </si>
  <si>
    <t xml:space="preserve">21.03</t>
  </si>
  <si>
    <t xml:space="preserve">21.04</t>
  </si>
  <si>
    <t xml:space="preserve">21.05</t>
  </si>
  <si>
    <t xml:space="preserve">21.06</t>
  </si>
  <si>
    <t xml:space="preserve">21.07</t>
  </si>
  <si>
    <t xml:space="preserve">21.08</t>
  </si>
  <si>
    <t xml:space="preserve">21.09</t>
  </si>
  <si>
    <t xml:space="preserve">22.01</t>
  </si>
  <si>
    <t xml:space="preserve">22.02</t>
  </si>
  <si>
    <t xml:space="preserve">22.03</t>
  </si>
  <si>
    <t xml:space="preserve">22.04</t>
  </si>
  <si>
    <t xml:space="preserve">22.05</t>
  </si>
  <si>
    <t xml:space="preserve">22.06</t>
  </si>
  <si>
    <t xml:space="preserve">22.07</t>
  </si>
  <si>
    <t xml:space="preserve">22.08</t>
  </si>
  <si>
    <t xml:space="preserve">22.09</t>
  </si>
  <si>
    <t xml:space="preserve">22.10</t>
  </si>
  <si>
    <t xml:space="preserve">23.01</t>
  </si>
  <si>
    <t xml:space="preserve">23.02</t>
  </si>
  <si>
    <t xml:space="preserve">23.03</t>
  </si>
  <si>
    <t xml:space="preserve">23.04</t>
  </si>
  <si>
    <t xml:space="preserve">23.05</t>
  </si>
  <si>
    <t xml:space="preserve">23.06</t>
  </si>
  <si>
    <t xml:space="preserve">23.07</t>
  </si>
  <si>
    <t xml:space="preserve">23.08</t>
  </si>
  <si>
    <t xml:space="preserve">23.09</t>
  </si>
  <si>
    <t xml:space="preserve">24.01</t>
  </si>
  <si>
    <t xml:space="preserve">Supply, lay and joint GRP pipe DN2600</t>
  </si>
  <si>
    <t xml:space="preserve">Package workbook 3D length</t>
  </si>
  <si>
    <t xml:space="preserve">24.02</t>
  </si>
  <si>
    <t xml:space="preserve">Supply, lay and joint GRP pipe DN2500</t>
  </si>
  <si>
    <t xml:space="preserve">24.03</t>
  </si>
  <si>
    <t xml:space="preserve">Supply, lay and joint GRP pipe DN2400</t>
  </si>
  <si>
    <t xml:space="preserve">24.04</t>
  </si>
  <si>
    <t xml:space="preserve">Supply, lay and joint GRP pipe DN2200</t>
  </si>
  <si>
    <t xml:space="preserve">24.05</t>
  </si>
  <si>
    <t xml:space="preserve">Supply, lay and joint GRP pipe DN2000</t>
  </si>
  <si>
    <t xml:space="preserve">24.06</t>
  </si>
  <si>
    <t xml:space="preserve">Supply, lay and joint GRP pipe DN1800</t>
  </si>
  <si>
    <t xml:space="preserve">24.07</t>
  </si>
  <si>
    <t xml:space="preserve">Supply, lay and joint HDPE pipe OD1400</t>
  </si>
  <si>
    <t xml:space="preserve">24.08</t>
  </si>
  <si>
    <t xml:space="preserve">Supply, lay and joint HDPE pipe OD1600</t>
  </si>
  <si>
    <t xml:space="preserve">24.09</t>
  </si>
  <si>
    <t xml:space="preserve">Supply, lay and joint HDPE pipe DN1600 as printed</t>
  </si>
  <si>
    <t xml:space="preserve">24.10</t>
  </si>
  <si>
    <t xml:space="preserve">Supply, lay and joint HDPE pipe OD600</t>
  </si>
  <si>
    <t xml:space="preserve">24.11</t>
  </si>
  <si>
    <t xml:space="preserve">Supply, lay and joint HDPE pipe OD500</t>
  </si>
  <si>
    <t xml:space="preserve">24.12</t>
  </si>
  <si>
    <t xml:space="preserve">Supply, lay and joint HDPE pipe OD315</t>
  </si>
  <si>
    <t xml:space="preserve">24.13</t>
  </si>
  <si>
    <t xml:space="preserve">GRP fittings - elbow 30 (all sizes)</t>
  </si>
  <si>
    <t xml:space="preserve">Package workbook fittings per package</t>
  </si>
  <si>
    <t xml:space="preserve">24.14</t>
  </si>
  <si>
    <t xml:space="preserve">GRP fittings - elbow 45 (all sizes)</t>
  </si>
  <si>
    <t xml:space="preserve">24.15</t>
  </si>
  <si>
    <t xml:space="preserve">GRP fittings - elbow 90 (all sizes)</t>
  </si>
  <si>
    <t xml:space="preserve">24.16</t>
  </si>
  <si>
    <t xml:space="preserve">GRP fittings - flange (all sizes)</t>
  </si>
  <si>
    <t xml:space="preserve">24.17</t>
  </si>
  <si>
    <t xml:space="preserve">GRP fittings - reducer (all sizes)</t>
  </si>
  <si>
    <t xml:space="preserve">24.18</t>
  </si>
  <si>
    <t xml:space="preserve">HDPE fittings - elbow 45 (all sizes)</t>
  </si>
  <si>
    <t xml:space="preserve">24.19</t>
  </si>
  <si>
    <t xml:space="preserve">HDPE fittings - elbow 90 (all sizes)</t>
  </si>
  <si>
    <t xml:space="preserve">24.20</t>
  </si>
  <si>
    <t xml:space="preserve">HDPE fittings - elbow (angle not stated) (all sizes)</t>
  </si>
  <si>
    <t xml:space="preserve">24.21</t>
  </si>
  <si>
    <t xml:space="preserve">HDPE fittings - flange (all sizes)</t>
  </si>
  <si>
    <t xml:space="preserve">24.22</t>
  </si>
  <si>
    <t xml:space="preserve">HDPE fittings - reducer (all sizes)</t>
  </si>
  <si>
    <t xml:space="preserve">24.23</t>
  </si>
  <si>
    <t xml:space="preserve">HDPE fittings - tee (all sizes)</t>
  </si>
  <si>
    <t xml:space="preserve">24.24</t>
  </si>
  <si>
    <t xml:space="preserve">HDPE fittings - stub end (all sizes)</t>
  </si>
  <si>
    <t xml:space="preserve">24.25</t>
  </si>
  <si>
    <t xml:space="preserve">Connection of pipe to structure wall (puddle flange / grouting)</t>
  </si>
  <si>
    <t xml:space="preserve">CONNECT</t>
  </si>
  <si>
    <t xml:space="preserve">Tie-in packages + 2 per short connection</t>
  </si>
  <si>
    <t xml:space="preserve">24.26</t>
  </si>
  <si>
    <t xml:space="preserve">Excavation in sheet-piled trench, below GWL</t>
  </si>
  <si>
    <t xml:space="preserve">Sequence workbook (MAXOC 2.5 m rule)</t>
  </si>
  <si>
    <t xml:space="preserve">24.27</t>
  </si>
  <si>
    <t xml:space="preserve">Excavation in dewatered open cut</t>
  </si>
  <si>
    <t xml:space="preserve">Sequence workbook</t>
  </si>
  <si>
    <t xml:space="preserve">24.28</t>
  </si>
  <si>
    <t xml:space="preserve">Temporary steel sheet piles: supply / hire, install and extract (incl. walings and struts)</t>
  </si>
  <si>
    <t xml:space="preserve">Sequence workbook: wall length x depth x SHEET_RATIO</t>
  </si>
  <si>
    <t xml:space="preserve">24.29</t>
  </si>
  <si>
    <t xml:space="preserve">Dewatering: install wellpoints / deep wells along trench</t>
  </si>
  <si>
    <t xml:space="preserve">DEWATER</t>
  </si>
  <si>
    <t xml:space="preserve">24.30</t>
  </si>
  <si>
    <t xml:space="preserve">Dewatering: operate and maintain (package-days of pumping)</t>
  </si>
  <si>
    <t xml:space="preserve">pkg-day</t>
  </si>
  <si>
    <t xml:space="preserve">Sequence workbook programme (just-in-time dewatering)</t>
  </si>
  <si>
    <t xml:space="preserve">24.31</t>
  </si>
  <si>
    <t xml:space="preserve">Piles 600 mm diameter under pipe slabs - PLACEHOLDER layout (rows at 3 m)</t>
  </si>
  <si>
    <t xml:space="preserve">Sequence workbook placeholder; no pile design</t>
  </si>
  <si>
    <t xml:space="preserve">24.32</t>
  </si>
  <si>
    <t xml:space="preserve">Reinforced concrete piled slab and blinding under pipes (0.50 m)</t>
  </si>
  <si>
    <t xml:space="preserve">24.33</t>
  </si>
  <si>
    <t xml:space="preserve">Reinforcement to piled slab under pipes</t>
  </si>
  <si>
    <t xml:space="preserve">Slab volume x RR_PIPESLAB</t>
  </si>
  <si>
    <t xml:space="preserve">24.34</t>
  </si>
  <si>
    <t xml:space="preserve">Granular bedding and surround to 0.3 m above crown</t>
  </si>
  <si>
    <t xml:space="preserve">SURROUND</t>
  </si>
  <si>
    <t xml:space="preserve">Pipes sheet formula</t>
  </si>
  <si>
    <t xml:space="preserve">24.35</t>
  </si>
  <si>
    <t xml:space="preserve">Backfill to NG in compacted layers</t>
  </si>
  <si>
    <t xml:space="preserve">24.36</t>
  </si>
  <si>
    <t xml:space="preserve">Anchor straps to piled slab where empty pipe can float at final level</t>
  </si>
  <si>
    <t xml:space="preserve">ANCHOR</t>
  </si>
  <si>
    <t xml:space="preserve">Sequence workbook flotation check (UG-08, UG-09, UG-10)</t>
  </si>
  <si>
    <t xml:space="preserve">24.37</t>
  </si>
  <si>
    <t xml:space="preserve">Locate and protect crossing services (trial pits) at listed crossings</t>
  </si>
  <si>
    <t xml:space="preserve">XING</t>
  </si>
  <si>
    <t xml:space="preserve">Packages with crossings listed</t>
  </si>
  <si>
    <t xml:space="preserve">25.01</t>
  </si>
  <si>
    <t xml:space="preserve">Untagged model pipes without levels (90 objects, of which untagged length shown) - provisional, line identity to be resolved</t>
  </si>
  <si>
    <t xml:space="preserve">Model volume / pipe area; tagged unresolved pieces (about 335 m) are assumed already in the line lengths</t>
  </si>
  <si>
    <t xml:space="preserve">25.02</t>
  </si>
  <si>
    <t xml:space="preserve">Site raising from NG (-0.70) to FL (+1.00) over the developed area, less structure footprints - PROVISIONAL</t>
  </si>
  <si>
    <t xml:space="preserve">Convex hull of model; replace with surveyed site area and levels</t>
  </si>
  <si>
    <t xml:space="preserve">Inputs and assumptions</t>
  </si>
  <si>
    <t xml:space="preserve">Yellow = edit. Quantities in the BOQ recalculate from these values. Rates are entered on the BOQ sheet.</t>
  </si>
  <si>
    <t xml:space="preserve">Name</t>
  </si>
  <si>
    <t xml:space="preserve">Value</t>
  </si>
  <si>
    <t xml:space="preserve">Source / status</t>
  </si>
  <si>
    <t xml:space="preserve">General</t>
  </si>
  <si>
    <t xml:space="preserve">CURRENCY</t>
  </si>
  <si>
    <t xml:space="preserve">Currency of rates</t>
  </si>
  <si>
    <t xml:space="preserve">EGP</t>
  </si>
  <si>
    <t xml:space="preserve">Enter rates in this currency on the BOQ sheet.</t>
  </si>
  <si>
    <t xml:space="preserve">NG</t>
  </si>
  <si>
    <t xml:space="preserve">Adopted natural ground level</t>
  </si>
  <si>
    <t xml:space="preserve">Package workbook D-004 (Mohamed, 20 Oct 2026).</t>
  </si>
  <si>
    <t xml:space="preserve">FL</t>
  </si>
  <si>
    <t xml:space="preserve">Finished ground level</t>
  </si>
  <si>
    <t xml:space="preserve">Package workbook D-004.</t>
  </si>
  <si>
    <t xml:space="preserve">Earthworks to structures</t>
  </si>
  <si>
    <t xml:space="preserve">WS_STR</t>
  </si>
  <si>
    <t xml:space="preserve">Working space around structure footprint at formation</t>
  </si>
  <si>
    <t xml:space="preserve">Same as agreed for pipes (21 Oct 2026).</t>
  </si>
  <si>
    <t xml:space="preserve">SLOPE_STR</t>
  </si>
  <si>
    <t xml:space="preserve">Excavation side slope (H per 1 V); 0 = vertical (shored)</t>
  </si>
  <si>
    <t xml:space="preserve">H:V</t>
  </si>
  <si>
    <t xml:space="preserve">ASSUMPTION - soft silty clay. Temporary works design governs.</t>
  </si>
  <si>
    <t xml:space="preserve">Piling</t>
  </si>
  <si>
    <t xml:space="preserve">PILE_DENS</t>
  </si>
  <si>
    <t xml:space="preserve">Allowance where the model has no piles: Ø600 piles per m2 of footprint</t>
  </si>
  <si>
    <t xml:space="preserve">no./m2</t>
  </si>
  <si>
    <t xml:space="preserve">Calibrated to aeration: 3,672 modelled piles / 34,995 m2 footprint = 0.105. ALLOWANCE only.</t>
  </si>
  <si>
    <t xml:space="preserve">Reinforcement ratios (kg per m3 of concrete) - ASSUMPTIONS unless noted</t>
  </si>
  <si>
    <t xml:space="preserve">RR_BASE</t>
  </si>
  <si>
    <t xml:space="preserve">Rafts, bases and foundations</t>
  </si>
  <si>
    <t xml:space="preserve">kg/m3</t>
  </si>
  <si>
    <t xml:space="preserve">Aeration raft estimate 3,203 t / 30,012 m3 (model text "AW-AER Tracking Documentation", incl. 10% laps and 10% extra bars).</t>
  </si>
  <si>
    <t xml:space="preserve">RR_WALL</t>
  </si>
  <si>
    <t xml:space="preserve">Walls and parapets</t>
  </si>
  <si>
    <t xml:space="preserve">ASSUMPTION - water-retaining walls.</t>
  </si>
  <si>
    <t xml:space="preserve">RR_SLAB</t>
  </si>
  <si>
    <t xml:space="preserve">Suspended slabs, decks, roofs, walkways</t>
  </si>
  <si>
    <t xml:space="preserve">ASSUMPTION.</t>
  </si>
  <si>
    <t xml:space="preserve">RR_COLBEAM</t>
  </si>
  <si>
    <t xml:space="preserve">Columns, beams, piers</t>
  </si>
  <si>
    <t xml:space="preserve">RR_MISC</t>
  </si>
  <si>
    <t xml:space="preserve">Channels, baffles, weirs, chambers, hoppers</t>
  </si>
  <si>
    <t xml:space="preserve">RR_PLINTH</t>
  </si>
  <si>
    <t xml:space="preserve">Equipment plinths and pads</t>
  </si>
  <si>
    <t xml:space="preserve">RR_BRIDGE</t>
  </si>
  <si>
    <t xml:space="preserve">Concrete bridge members (thickeners)</t>
  </si>
  <si>
    <t xml:space="preserve">ASSUMPTION - slender bridge members. Bridge is concrete (Mohamed, 22 Oct 2026); model collection is labelled "Steel truss".</t>
  </si>
  <si>
    <t xml:space="preserve">RR_PIPESLAB</t>
  </si>
  <si>
    <t xml:space="preserve">Piled slab under pipes</t>
  </si>
  <si>
    <t xml:space="preserve">ASSUMPTION - no slab design.</t>
  </si>
  <si>
    <t xml:space="preserve">Steel and metalwork</t>
  </si>
  <si>
    <t xml:space="preserve">STEEL_DENS</t>
  </si>
  <si>
    <t xml:space="preserve">Density of steel</t>
  </si>
  <si>
    <t xml:space="preserve">t/m3</t>
  </si>
  <si>
    <t xml:space="preserve">Physical constant; applied to modelled steel member volume.</t>
  </si>
  <si>
    <t xml:space="preserve">RAILS_PER_RUN</t>
  </si>
  <si>
    <t xml:space="preserve">Rail members per handrail run (top + knee rail)</t>
  </si>
  <si>
    <t xml:space="preserve">ASSUMPTION - modelled rails are individual members.</t>
  </si>
  <si>
    <t xml:space="preserve">Underground pipework</t>
  </si>
  <si>
    <t xml:space="preserve">WS_PIPE</t>
  </si>
  <si>
    <t xml:space="preserve">Working space each side of pipe (trench bottom width = OD + 2 x WS)</t>
  </si>
  <si>
    <t xml:space="preserve">AGREED 21 Oct 2026.</t>
  </si>
  <si>
    <t xml:space="preserve">SURR_ABOVE</t>
  </si>
  <si>
    <t xml:space="preserve">Granular surround above pipe crown</t>
  </si>
  <si>
    <t xml:space="preserve">Site-wide provisional</t>
  </si>
  <si>
    <t xml:space="preserve">SITE_AREA</t>
  </si>
  <si>
    <t xml:space="preserve">Developed area for site raising (convex hull of all modelled assets)</t>
  </si>
  <si>
    <t xml:space="preserve">Computed from the 3D model; site boundary not in the model - replace with surveyed area.</t>
  </si>
  <si>
    <t xml:space="preserve">SITE_DEDUCT</t>
  </si>
  <si>
    <t xml:space="preserve">Deduct footprint of structures from site raising (1 = yes)</t>
  </si>
  <si>
    <t xml:space="preserve">-</t>
  </si>
  <si>
    <t xml:space="preserve">Take-off from the 3D coordination model (Alex-West-Combined-Coordination.blend, 19 Oct 2026)</t>
  </si>
  <si>
    <t xml:space="preserve">One row per structure / element class. Volumes and areas are measured on closed model solids (all 15,195 meshes are closed). Formwork = vertical faces + soffits of elevated elements. Blue = model data; the BOQ sums these rows.</t>
  </si>
  <si>
    <t xml:space="preserve">Asset</t>
  </si>
  <si>
    <t xml:space="preserve">Element class</t>
  </si>
  <si>
    <t xml:space="preserve">Elements (no.)</t>
  </si>
  <si>
    <t xml:space="preserve">Volume (m3)</t>
  </si>
  <si>
    <t xml:space="preserve">Top area (m2)</t>
  </si>
  <si>
    <t xml:space="preserve">Formwork area (m2)</t>
  </si>
  <si>
    <t xml:space="preserve">Rail member length (m)</t>
  </si>
  <si>
    <t xml:space="preserve">Lowest level (m)</t>
  </si>
  <si>
    <t xml:space="preserve">Element names (sample)</t>
  </si>
  <si>
    <t xml:space="preserve">GRT</t>
  </si>
  <si>
    <t xml:space="preserve">AW-GRT</t>
  </si>
  <si>
    <t xml:space="preserve">Perimeter post; Perimeter rail; Raised walkway handrail; Raised walkway post</t>
  </si>
  <si>
    <t xml:space="preserve">G1 floor slope 1-; G1 floor slope 2-; G2 floor slope 1-; G2 floor slope 2-; G3 floor slope 1-; G3 floor slope 2-</t>
  </si>
  <si>
    <t xml:space="preserve">Deep outlet well base; Grit common raft; Pair 1 inlet distributor floor; Pair 2 inlet distributor floor; Rejected bypass floor envelope; Screen common floor</t>
  </si>
  <si>
    <t xml:space="preserve">Deep outlet well west below screen; G1 GRP stilling baffle; G1 inlet distributor cheek; G1 scum trough bottom; G1 scum trough side; G2 GRP stilling baffle</t>
  </si>
  <si>
    <t xml:space="preserve">Deep outlet well access deck; Flume internal walkway; G1 lane walkway; G2 lane walkway; G3 lane walkway; G4 lane walkway</t>
  </si>
  <si>
    <t xml:space="preserve">Deep outlet well east wall; Deep outlet well north wall; Deep outlet well south wall; Drawn flume wall -4.45; Drawn flume wall -6.45; Full dividing wall</t>
  </si>
  <si>
    <t xml:space="preserve">Southwest stair tread</t>
  </si>
  <si>
    <t xml:space="preserve">PST</t>
  </si>
  <si>
    <t xml:space="preserve">AW-PST</t>
  </si>
  <si>
    <t xml:space="preserve">Basin 01 hopper transverse screed; Basin 02 hopper transverse screed; Basin 03 hopper transverse screed; Basin 04 hopper transverse screed; Basin 05 hopper transverse screed; Basin 06 hopper transverse screed</t>
  </si>
  <si>
    <t xml:space="preserve">Basin 01 walkway rail; Basin 01 walkway rail post; Basin 02 walkway rail; Basin 02 walkway rail post; Basin 03 walkway rail; Basin 03 walkway rail post</t>
  </si>
  <si>
    <t xml:space="preserve">Basin 01 outlet-zone sloping fill; Basin 02 outlet-zone sloping fill; Basin 03 outlet-zone sloping fill; Basin 04 outlet-zone sloping fill; Basin 05 outlet-zone sloping fill; Basin 06 outlet-zone sloping fill</t>
  </si>
  <si>
    <t xml:space="preserve">Basin 01 outlet finger base; Basin 01 sloping hopper slab; Basin 01 sludge trough base; Basin 02 outlet finger base; Basin 02 sloping hopper slab; Basin 02 sludge trough base</t>
  </si>
  <si>
    <t xml:space="preserve">Basin 01 baffle pier; Basin 02 baffle pier; Basin 03 baffle pier; Basin 04 baffle pier; Basin 05 baffle pier; Basin 06 baffle pier</t>
  </si>
  <si>
    <t xml:space="preserve">Basin 01 baffle header; Basin 01 baffle sill; Basin 02 baffle header; Basin 02 baffle sill; Basin 03 baffle header; Basin 03 baffle sill</t>
  </si>
  <si>
    <t xml:space="preserve">Basin 01 inlet access deck; Basin 02 inlet access deck; Basin 03 inlet access deck; Basin 04 inlet access deck; Basin 05 inlet access deck; Basin 06 inlet access deck</t>
  </si>
  <si>
    <t xml:space="preserve">Basin 01 outlet finger wall; Basin 01 sludge trough end wall; Basin 01 sludge trough outer wall; Basin 02 outlet finger wall; Basin 02 sludge trough end wall; Basin 02 sludge trough outer wall</t>
  </si>
  <si>
    <t xml:space="preserve">East outlet stair tread; West inlet stair tread; West outlet stair tread</t>
  </si>
  <si>
    <t xml:space="preserve">IPS</t>
  </si>
  <si>
    <t xml:space="preserve">AW-IPS</t>
  </si>
  <si>
    <t xml:space="preserve">Bypass raft; IPS CH01 sloping base; IPS CH02 sloping base; IPS CH03 sloping base; IPS CH04 sloping base; IPS CH05 sloping base</t>
  </si>
  <si>
    <t xml:space="preserve">IPS electrical roof slab; Inlet deck OP01 and OP02 access openings</t>
  </si>
  <si>
    <t xml:space="preserve">Bypass external wall with two nominal pipe penetrations; Bypass transverse partition; IPS approach sidewall; IPS divider; IPS electrical end wall; IPS electrical long wall</t>
  </si>
  <si>
    <t xml:space="preserve">Indicative stair tread; Indicative stair waist; Upper IPS landing</t>
  </si>
  <si>
    <t xml:space="preserve">AW-IPS-SHARED</t>
  </si>
  <si>
    <t xml:space="preserve">Motor hall floor; Outlet extension base</t>
  </si>
  <si>
    <t xml:space="preserve">IPS CH01 discharge transition; IPS CH02 discharge transition; IPS CH03 discharge transition; IPS CH04 discharge transition; IPS CH05 discharge transition; IPS CH06 discharge transition</t>
  </si>
  <si>
    <t xml:space="preserve">Motor hall roof slab; Shared distribution slab</t>
  </si>
  <si>
    <t xml:space="preserve">Motor hall end wall; Motor hall longitudinal upper wall; Outlet extension sidewall; Roof parapet - CAD envelope; Shared distribution divider</t>
  </si>
  <si>
    <t xml:space="preserve">AER</t>
  </si>
  <si>
    <t xml:space="preserve">AW-AER</t>
  </si>
  <si>
    <t xml:space="preserve">Axis1 post; Axis1 rail; Axis10 post; Axis10 rail; Axis2 post; Axis2 rail</t>
  </si>
  <si>
    <t xml:space="preserve">P0001 dia600 - truncated; P0002 dia600 - truncated; P0003 dia600 - truncated; P0004 dia600 - truncated; P0005 dia600 - truncated; P0006 dia600 - truncated</t>
  </si>
  <si>
    <t xml:space="preserve">Distribution chamber context raft; North inlet segment1 raft extension; North inlet segment2 raft extension; North inlet segment3 raft extension; North inlet segment4 raft extension; Northwest turn floor</t>
  </si>
  <si>
    <t xml:space="preserve">C1-C2-001 400 square; C1-C2-002 400 square; C1-C2-003 400 square; C1-C2-004 400 square; C1-C2-005 400 square; C1-C2-006 400 square</t>
  </si>
  <si>
    <t xml:space="preserve">Basin 1 baffle 1 with openings; Basin 1 baffle 2 with openings; Basin 1 baffle 3 with openings; Basin 1 baffle 4 with openings; Basin 2 baffle 1 with openings; Basin 2 baffle 2 with openings</t>
  </si>
  <si>
    <t xml:space="preserve">Axis1 1200 walk slab; Axis10 1200 walk slab; Axis3 1200 walk slab; Axis5 1200 walk slab; Axis6 1200 walk slab; Axis8 1200 walk slab</t>
  </si>
  <si>
    <t xml:space="preserve">Axis 1 tapered wall; Axis 10 tapered wall; Axis 2 tapered wall; Axis 3 tapered wall; Axis 4 tapered wall; Axis 5 tapered wall</t>
  </si>
  <si>
    <t xml:space="preserve">Stair1 east flight; Stair1 east landing; Stair2 north flight; Stair2 north landing; Stair3 west flight; Stair3 west landing</t>
  </si>
  <si>
    <t xml:space="preserve">SDC</t>
  </si>
  <si>
    <t xml:space="preserve">AW-SDC-A</t>
  </si>
  <si>
    <t xml:space="preserve">Deep-well blinding envelope; Outer slab blinding envelope</t>
  </si>
  <si>
    <t xml:space="preserve">Indicative perimeter post; Indicative perimeter rail; Indicative stair post; Indicative stair rail</t>
  </si>
  <si>
    <t xml:space="preserve">Deep well base slab; Octagonal outlet floor slab</t>
  </si>
  <si>
    <t xml:space="preserve">Circular well and overflow weir</t>
  </si>
  <si>
    <t xml:space="preserve">Indicative landing support; Perimeter walkway 1.20 m nominal; Radial walkway; Widened baffle head</t>
  </si>
  <si>
    <t xml:space="preserve">Compartment divider; Octagonal outer wall with four PD02 holes</t>
  </si>
  <si>
    <t xml:space="preserve">External three-flight stair with two intermediate landings; Inner ladder landing extension</t>
  </si>
  <si>
    <t xml:space="preserve">AW-SDC-B</t>
  </si>
  <si>
    <t xml:space="preserve">AW-SDC-C</t>
  </si>
  <si>
    <t xml:space="preserve">FST</t>
  </si>
  <si>
    <t xml:space="preserve">AW-FST-A</t>
  </si>
  <si>
    <t xml:space="preserve">100 mm blinding beneath raft; DN1000 support blinding; DN1600 support blinding; Drain chamber blinding; Hopper base blinding; Outlet chamber blinding</t>
  </si>
  <si>
    <t xml:space="preserve">P001 — diameter600 display stub; P002 — diameter600 display stub; P003 — diameter600 display stub; P004 — diameter600 display stub; P005 — diameter600 display stub; P006 — diameter600 display stub</t>
  </si>
  <si>
    <t xml:space="preserve">DN1000 support foundation beam; DN1600 support foundation beam; Drain chamber base — 500 mm; Hopper base — 700 mm; Outlet chamber base — 500 mm; Sloping 700 mm annular raft</t>
  </si>
  <si>
    <t xml:space="preserve">Feedwell pier; Hopper pier</t>
  </si>
  <si>
    <t xml:space="preserve">C1 circular support; DN1000 support concrete cradle; DN1600 support concrete cradle; Drain chamber side; Drain chamber side -; Feedwell lower cylinder</t>
  </si>
  <si>
    <t xml:space="preserve">250 mm perimeter walkway; Central annular transfer slab — 400 mm; Feedwell cap — 400 mm; Outlet chamber roof with 1000 x 1000 hatch</t>
  </si>
  <si>
    <t xml:space="preserve">600 mm perimeter wall; Baffle upper wall — 300 mm; Drain chamber inner wall below raft; Drain chamber outer wall; Hopper lower wall; Outlet chamber inner wall below raft</t>
  </si>
  <si>
    <t xml:space="preserve">Intermediate stair landing; Stair 1 tread; Stair 2 tread; Stair B1 — 250 x; Stair C2 — 400 x; Stair starter</t>
  </si>
  <si>
    <t xml:space="preserve">AW-FST-B</t>
  </si>
  <si>
    <t xml:space="preserve">AW-FST-C</t>
  </si>
  <si>
    <t xml:space="preserve">AW-FST-D</t>
  </si>
  <si>
    <t xml:space="preserve">AW-FST-E</t>
  </si>
  <si>
    <t xml:space="preserve">AW-FST-F</t>
  </si>
  <si>
    <t xml:space="preserve">AW-FST-G</t>
  </si>
  <si>
    <t xml:space="preserve">AW-FST-H</t>
  </si>
  <si>
    <t xml:space="preserve">AW-FST-I</t>
  </si>
  <si>
    <t xml:space="preserve">AW-FST-J</t>
  </si>
  <si>
    <t xml:space="preserve">AW-FST-K</t>
  </si>
  <si>
    <t xml:space="preserve">AW-FST-L</t>
  </si>
  <si>
    <t xml:space="preserve">RAS</t>
  </si>
  <si>
    <t xml:space="preserve">AW-RASWAS</t>
  </si>
  <si>
    <t xml:space="preserve">RAS CH01 sloping base; RAS CH02 sloping base; RAS CH03 sloping base; RAS CH04 sloping base; RAS CH05 sloping base; RAS CH06 sloping base</t>
  </si>
  <si>
    <t xml:space="preserve">RAS WAS top deck with access and pump discharge openings; RAS electrical room roof</t>
  </si>
  <si>
    <t xml:space="preserve">RAS WAS external wet well wall PD04 PD; RAS approach end wall; RAS divider; RAS electrical room end/partition wall; RAS electrical room longitudinal wall; RAS wet well front lower wall</t>
  </si>
  <si>
    <t xml:space="preserve">CCT</t>
  </si>
  <si>
    <t xml:space="preserve">AW-CCT</t>
  </si>
  <si>
    <t xml:space="preserve">Main raft blinding</t>
  </si>
  <si>
    <t xml:space="preserve">Central north post; Central north rail 0; Central north rail 1; Central south post; Central south rail 0; Central south rail 1</t>
  </si>
  <si>
    <t xml:space="preserve">Drain sump 1 thickened base; Drain sump 2 thickened base; Inlet chamber raft; Main contact tank raft; Outlet well raft; TK-0801A longitudinal sloping floor</t>
  </si>
  <si>
    <t xml:space="preserve">Collector side weir; East North overflow weir; East South overflow weir; Inlet local sump shell; TK-0801A baffle; TK-0801B baffle</t>
  </si>
  <si>
    <t xml:space="preserve">Central access spine; Inlet access bridge; Inlet long access strip; Outlet long access strip; Outlet well inspection bridge; Sampling platform</t>
  </si>
  <si>
    <t xml:space="preserve">Central dividing wall; Curved wall return; East North perimeter wall; East South perimeter wall; Inlet east deep wall; Inlet north wall</t>
  </si>
  <si>
    <t xml:space="preserve">Inlet access step; Inlet ladder rung; Inlet ladder stile; Outlet access step; Outlet ladder rung; Outlet ladder stile</t>
  </si>
  <si>
    <t xml:space="preserve">FIRE</t>
  </si>
  <si>
    <t xml:space="preserve">AW-FIRE</t>
  </si>
  <si>
    <t xml:space="preserve">Flow hall high window; Pump hall high window</t>
  </si>
  <si>
    <t xml:space="preserve">Flow hall crane runway; Flow hall indicative bridge; Flow hall runway corbel; Pump hall crane runway; Pump hall indicative bridge; Pump hall runway corbel</t>
  </si>
  <si>
    <t xml:space="preserve">Distribution north post; Distribution north rail 0; Distribution north rail 1; Distribution south post; Distribution south rail 0; Distribution south rail 1</t>
  </si>
  <si>
    <t xml:space="preserve">Deep overflow south raft; Deep west inlet raft; Distribution channel main raft; Distribution inlet depressed raft; Flow hall drain sump base; Flow hall raft</t>
  </si>
  <si>
    <t xml:space="preserve">Flow hall column 12.2/-0; Flow hall column 12.2/9; Flow hall column 17.2/-0; Flow hall column 17.2/9; Flow hall column 22.2/-0; Flow hall column 22.2/9</t>
  </si>
  <si>
    <t xml:space="preserve">Maneuvering North overflow weir; Maneuvering South overflow weir; Maneuvering West overflow weir; Outlet well overflow weir</t>
  </si>
  <si>
    <t xml:space="preserve">Cooling pump pad; Fire fighting skid pad; Service pump pad</t>
  </si>
  <si>
    <t xml:space="preserve">Distribution operating deck; Flow hall entrance landing; Flow hall roof slab; Maneuvering North raised shelf; Maneuvering South raised shelf; Maneuvering West raised shelf</t>
  </si>
  <si>
    <t xml:space="preserve">Distribution channel east wall; Distribution channel west wall; Distribution south wall; East perimeter tank and pump wall; Fire A / Fire B partition; Fire B / Cooling partition</t>
  </si>
  <si>
    <t xml:space="preserve">Distribution sump riser; External west access; External west landing; Flow hall lower flight; Flow hall upper flight; Flow stair intermediate landing</t>
  </si>
  <si>
    <t xml:space="preserve">BLOW</t>
  </si>
  <si>
    <t xml:space="preserve">AW-BLOW</t>
  </si>
  <si>
    <t xml:space="preserve">Personnel door envelope; Sliding loading-door panel - open position</t>
  </si>
  <si>
    <t xml:space="preserve">Floor blinding envelope</t>
  </si>
  <si>
    <t xml:space="preserve">Blower-01 acoustic cabinet envelope; Blower-01 discharge silencer envelope; Blower-02 acoustic cabinet envelope; Blower-02 discharge silencer envelope; Blower-03 acoustic cabinet envelope; Blower-03 discharge silencer envelope</t>
  </si>
  <si>
    <t xml:space="preserve">Ground floor slab</t>
  </si>
  <si>
    <t xml:space="preserve">East roof edge beam; Guide column; Guide column 01 corbel; Guide column 02 corbel; Guide column 03 corbel; Guide column 04 corbel</t>
  </si>
  <si>
    <t xml:space="preserve">Cable trench 1 RC shell; Cable trench 2 RC shell; Cable trench 3 RC shell; Cable trench 4 RC shell; Cable trench 5 RC shell; Cable trench 6 RC shell</t>
  </si>
  <si>
    <t xml:space="preserve">Blower-01 plinth; Blower-02 plinth; Blower-03 plinth; Blower-04 plinth; Blower-05 plinth; Blower-06 plinth</t>
  </si>
  <si>
    <t xml:space="preserve">Cable trench 1 removable cover; Cable trench 2 removable cover; Cable trench 3 removable cover; Cable trench 4 removable cover; Cable trench 5 removable cover; Cable trench 6 removable cover</t>
  </si>
  <si>
    <t xml:space="preserve">East parapet; East wall; North parapet; North wall; South parapet; South wall</t>
  </si>
  <si>
    <t xml:space="preserve">THK</t>
  </si>
  <si>
    <t xml:space="preserve">AW-THK-A</t>
  </si>
  <si>
    <t xml:space="preserve">150mm blinding and 50mm screed envelope</t>
  </si>
  <si>
    <t xml:space="preserve">6mm chequer plate bridge deck</t>
  </si>
  <si>
    <t xml:space="preserve">Indicative rail post; Indicative stair rail</t>
  </si>
  <si>
    <t xml:space="preserve">P01 dia600 - display stub; P02 dia600 - display stub; P03 dia600 - display stub; P04 dia600 - display stub; P05 dia600 - display stub; P06 dia600 - display stub</t>
  </si>
  <si>
    <t xml:space="preserve">600mm raft with sloping floor and integral hopper; Bridge foundation tab; Bridge foundation tab -; Stair foundation slab</t>
  </si>
  <si>
    <t xml:space="preserve">B1 diagonal -0.75; B1 diagonal 0.75; B3 chord y-0.75 z5; B3 chord y-0.75 z7; B3 chord y0.75 z5; B3 chord y0.75 z7</t>
  </si>
  <si>
    <t xml:space="preserve">C2 -1 -0; C2 -1 0; C2 1 -0; C2 1 0; Ground beam 14; Ground beam 15</t>
  </si>
  <si>
    <t xml:space="preserve">Cantilever channel invert - 400mm</t>
  </si>
  <si>
    <t xml:space="preserve">Bridge bearing head; Bridge bearing head -; Intermediate landing +3; Upper landing +5</t>
  </si>
  <si>
    <t xml:space="preserve">600mm circular tank wall - clear diameter 23m; Channel outer wall - 400mm</t>
  </si>
  <si>
    <t xml:space="preserve">Stair C1 14.1 -1; Stair C1 14.1 0; Stair C1 14.1 5; Stair C1 15.9 -1; Stair C1 15.9 0; Stair C1 15.9 5</t>
  </si>
  <si>
    <t xml:space="preserve">AW-THK-B</t>
  </si>
  <si>
    <t xml:space="preserve">AW-THK-C</t>
  </si>
  <si>
    <t xml:space="preserve">AW-THK-D</t>
  </si>
  <si>
    <t xml:space="preserve">DIG</t>
  </si>
  <si>
    <t xml:space="preserve">AW-DIG-01</t>
  </si>
  <si>
    <t xml:space="preserve">EXCL</t>
  </si>
  <si>
    <t xml:space="preserve">Updated hydraulic WL +20.70 reference</t>
  </si>
  <si>
    <t xml:space="preserve">Perimeter rail at 22; Perimeter rail at 23; Perimeter rail post; Roof stair rail -0.7 0; Roof stair rail -0.7 1; Roof stair rail 0.7 0</t>
  </si>
  <si>
    <t xml:space="preserve">Foundation below sloped structural base; Sloping base with central flat and perimeter shoulder; Valve chamber base</t>
  </si>
  <si>
    <t xml:space="preserve">Valve chamber side A; Valve chamber side B</t>
  </si>
  <si>
    <t xml:space="preserve">Annular deck overhang; Conical roof and 400 mm central neck opening</t>
  </si>
  <si>
    <t xml:space="preserve">Cylindrical wall 700 mm; Valve chamber inner wall; Valve chamber outer wall</t>
  </si>
  <si>
    <t xml:space="preserve">Roof stair 1.20 m clear</t>
  </si>
  <si>
    <t xml:space="preserve">AW-DIG-02</t>
  </si>
  <si>
    <t xml:space="preserve">AW-DIG-03</t>
  </si>
  <si>
    <t xml:space="preserve">AW-DIG-04</t>
  </si>
  <si>
    <t xml:space="preserve">AW-DIG-05</t>
  </si>
  <si>
    <t xml:space="preserve">AW-DIG-06</t>
  </si>
  <si>
    <t xml:space="preserve">AW-DIG-07</t>
  </si>
  <si>
    <t xml:space="preserve">AW-DIG-08</t>
  </si>
  <si>
    <t xml:space="preserve">GHT</t>
  </si>
  <si>
    <t xml:space="preserve">AW-GHT-01</t>
  </si>
  <si>
    <t xml:space="preserve">Concrete plinth - diameter 24m - provisional 500mm</t>
  </si>
  <si>
    <t xml:space="preserve">AW-GHT-02</t>
  </si>
  <si>
    <t xml:space="preserve">AW-GHT-03</t>
  </si>
  <si>
    <t xml:space="preserve">AW-GHT-04</t>
  </si>
  <si>
    <t xml:space="preserve">GHB</t>
  </si>
  <si>
    <t xml:space="preserve">AW-GHB</t>
  </si>
  <si>
    <t xml:space="preserve">Floor slab 300 mm</t>
  </si>
  <si>
    <t xml:space="preserve">North equipment plinth; South equipment plinth</t>
  </si>
  <si>
    <t xml:space="preserve">Roof slab 200 mm - longitudinal extent provisional</t>
  </si>
  <si>
    <t xml:space="preserve">Entrance north jamb - head unresolved; Entrance south jamb - head unresolved; North side parapet 150 mm; North wall 300 mm; South side parapet 150 mm; South wall 300 mm</t>
  </si>
  <si>
    <t xml:space="preserve">DSB</t>
  </si>
  <si>
    <t xml:space="preserve">AW-DSB-01</t>
  </si>
  <si>
    <t xml:space="preserve">Floor slab 500 mm</t>
  </si>
  <si>
    <t xml:space="preserve">Layout plinth</t>
  </si>
  <si>
    <t xml:space="preserve">Roof slab 300 mm</t>
  </si>
  <si>
    <t xml:space="preserve">East parapet 200 mm; Front parapet 200 mm; Hall partition wall 300 mm; Main hall end wall 300 mm; Main left front wall; Main right front wall</t>
  </si>
  <si>
    <t xml:space="preserve">AW-DSB-02</t>
  </si>
  <si>
    <t xml:space="preserve">GPS</t>
  </si>
  <si>
    <t xml:space="preserve">AW-GPS</t>
  </si>
  <si>
    <t xml:space="preserve">Water reference at tender WL -2</t>
  </si>
  <si>
    <t xml:space="preserve">Base slab 300mm with west toe</t>
  </si>
  <si>
    <t xml:space="preserve">Lower layer 100mm</t>
  </si>
  <si>
    <t xml:space="preserve">East cover seat; Front cover seat; Rear cover seat; Removable cover envelope 2.00 x 2.80m; West cover seat</t>
  </si>
  <si>
    <t xml:space="preserve">East wall 300mm; Front wall 300mm; Partition 300mm; Rear wall 300mm; West inlet wall 300mm</t>
  </si>
  <si>
    <t xml:space="preserve">SCPS</t>
  </si>
  <si>
    <t xml:space="preserve">AW-SCPS</t>
  </si>
  <si>
    <t xml:space="preserve">Covered chamber base slab300mm; Wet base slab300mm with west toe</t>
  </si>
  <si>
    <t xml:space="preserve">Wet lower layer100mm</t>
  </si>
  <si>
    <t xml:space="preserve">Covered chamber lower layer100mm; East cover seat; Front cover seat; Rear cover seat; Removable cover envelope 2.00 x 2.80m; West cover seat</t>
  </si>
  <si>
    <t xml:space="preserve">Deep partition300mm; East wall300mm; Front covered chamber wall300mm; Front wet wall300mm; Rear covered chamber wall300mm; Rear wet wall300mm</t>
  </si>
  <si>
    <t xml:space="preserve">WPD</t>
  </si>
  <si>
    <t xml:space="preserve">AW-WPD</t>
  </si>
  <si>
    <t xml:space="preserve">Unspecified lower continuous layer</t>
  </si>
  <si>
    <t xml:space="preserve">WL +4.00 hydraulic reference</t>
  </si>
  <si>
    <t xml:space="preserve">Main and annex floor envelope</t>
  </si>
  <si>
    <t xml:space="preserve">Tank bottom envelope</t>
  </si>
  <si>
    <t xml:space="preserve">Dewatering plinth; Narrow support strip; PPU plinth</t>
  </si>
  <si>
    <t xml:space="preserve">Provisional roof slab200mm</t>
  </si>
  <si>
    <t xml:space="preserve">Annex east wall segment; Annex north wall; Annex small room partition; Annex south loading wall segment; East parapet; Main annex partition</t>
  </si>
  <si>
    <t xml:space="preserve">THP</t>
  </si>
  <si>
    <t xml:space="preserve">AW-THP</t>
  </si>
  <si>
    <t xml:space="preserve">THP concrete platform - mixed provisional</t>
  </si>
  <si>
    <t xml:space="preserve">FDW</t>
  </si>
  <si>
    <t xml:space="preserve">AW-FDW</t>
  </si>
  <si>
    <t xml:space="preserve">Annex front door head envelope; Main door head envelope</t>
  </si>
  <si>
    <t xml:space="preserve">Lower layer reference envelope; Stepped floor envelope</t>
  </si>
  <si>
    <t xml:space="preserve">Raised civil pad or strip</t>
  </si>
  <si>
    <t xml:space="preserve">Stepped roof civil envelope</t>
  </si>
  <si>
    <t xml:space="preserve">Annex east lower wall; Annex front access left jamb; Annex front access right jamb; Annex return parapet; Annex room partition; Annex side access lower jamb</t>
  </si>
  <si>
    <t xml:space="preserve">CHP</t>
  </si>
  <si>
    <t xml:space="preserve">AW-CHP</t>
  </si>
  <si>
    <t xml:space="preserve">Floor civil envelope</t>
  </si>
  <si>
    <t xml:space="preserve">Raised civil pad</t>
  </si>
  <si>
    <t xml:space="preserve">Roof envelope</t>
  </si>
  <si>
    <t xml:space="preserve">East parapet; East wall; North access wall; North parapet; South parapet; South wall</t>
  </si>
  <si>
    <t xml:space="preserve">CHS</t>
  </si>
  <si>
    <t xml:space="preserve">AW-CHS</t>
  </si>
  <si>
    <t xml:space="preserve">Floor slab zone; West perimeter floor strip</t>
  </si>
  <si>
    <t xml:space="preserve">Channel 3.35 east closure; Channel 3.35 side; Channel 5.05 east closure; Channel 5.05 side; Longitudinal channel 3.35 bottom; Longitudinal channel 5.05 bottom</t>
  </si>
  <si>
    <t xml:space="preserve">Raised storage strip</t>
  </si>
  <si>
    <t xml:space="preserve">Longitudinal roof downstand; Roof slab nominal120mm; Transverse roof downstand</t>
  </si>
  <si>
    <t xml:space="preserve">East loading wall two openings; East parapet; North parapet; North wall with openings; South parapet; South wall with openings</t>
  </si>
  <si>
    <t xml:space="preserve">ABPH</t>
  </si>
  <si>
    <t xml:space="preserve">AW-ABPH</t>
  </si>
  <si>
    <t xml:space="preserve">Floor zone; Unspecified lower strip</t>
  </si>
  <si>
    <t xml:space="preserve">Trench bottom lining; Trench shell bottom; Trench shell side; Trench side lining</t>
  </si>
  <si>
    <t xml:space="preserve">Removable trench cover envelope; Roof envelope</t>
  </si>
  <si>
    <t xml:space="preserve">East end wall; East parapet; Front parapet; Front wall; Rear parapet; Rear wall</t>
  </si>
  <si>
    <t xml:space="preserve">Structures - footprint, excavation, backfill and piles</t>
  </si>
  <si>
    <t xml:space="preserve">Footprint = plan convex hull of elements that go below NG. Excavation from NG to the lowest element with working space and side slope (volume of an offset prism). Backfill = excavation - footprint x depth. Piles: modelled count where the model has piles, otherwise an allowance.</t>
  </si>
  <si>
    <t xml:space="preserve">Structure</t>
  </si>
  <si>
    <t xml:space="preserve">Model stage (manifest 19 Oct 2026)</t>
  </si>
  <si>
    <t xml:space="preserve">Footprint below NG (m2)</t>
  </si>
  <si>
    <t xml:space="preserve">Footprint perimeter (m)</t>
  </si>
  <si>
    <t xml:space="preserve">Depth below NG (m)</t>
  </si>
  <si>
    <t xml:space="preserve">Excavation (m3)</t>
  </si>
  <si>
    <t xml:space="preserve">Backfill (m3)</t>
  </si>
  <si>
    <t xml:space="preserve">Base top area (m2)</t>
  </si>
  <si>
    <t xml:space="preserve">Piles in model (no.)</t>
  </si>
  <si>
    <t xml:space="preserve">Pile basis</t>
  </si>
  <si>
    <t xml:space="preserve">Piles for BOQ (no.)</t>
  </si>
  <si>
    <t xml:space="preserve">Civil Guide Rev01 coordination reconstruction</t>
  </si>
  <si>
    <t xml:space="preserve">Allowance: footprint x PILE_DENS</t>
  </si>
  <si>
    <t xml:space="preserve">Primary sedimentation package</t>
  </si>
  <si>
    <t xml:space="preserve">Eight new basins CGD Rev01</t>
  </si>
  <si>
    <t xml:space="preserve">Intermediate pumping station</t>
  </si>
  <si>
    <t xml:space="preserve">CGD Rev01 civil envelope</t>
  </si>
  <si>
    <t xml:space="preserve">Shared IPS / RAS motor hall and distribution channel</t>
  </si>
  <si>
    <t xml:space="preserve">CGD Rev01 envelope; once only</t>
  </si>
  <si>
    <t xml:space="preserve">Aeration tank complex</t>
  </si>
  <si>
    <t xml:space="preserve">Structural reconstruction</t>
  </si>
  <si>
    <t xml:space="preserve">Model (display stubs)</t>
  </si>
  <si>
    <t xml:space="preserve">Secondary distribution chamber A</t>
  </si>
  <si>
    <t xml:space="preserve">CGD Rev02 envelope</t>
  </si>
  <si>
    <t xml:space="preserve">Secondary distribution chamber B</t>
  </si>
  <si>
    <t xml:space="preserve">Secondary distribution chamber C</t>
  </si>
  <si>
    <t xml:space="preserve">Final sedimentation tank A</t>
  </si>
  <si>
    <t xml:space="preserve">Typical structural instance</t>
  </si>
  <si>
    <t xml:space="preserve">Model (display stubs; FST stubs are placeholders)</t>
  </si>
  <si>
    <t xml:space="preserve">Final sedimentation tank B</t>
  </si>
  <si>
    <t xml:space="preserve">Final sedimentation tank C</t>
  </si>
  <si>
    <t xml:space="preserve">Final sedimentation tank D</t>
  </si>
  <si>
    <t xml:space="preserve">Final sedimentation tank E</t>
  </si>
  <si>
    <t xml:space="preserve">Final sedimentation tank F</t>
  </si>
  <si>
    <t xml:space="preserve">Final sedimentation tank G</t>
  </si>
  <si>
    <t xml:space="preserve">Final sedimentation tank H</t>
  </si>
  <si>
    <t xml:space="preserve">Final sedimentation tank I</t>
  </si>
  <si>
    <t xml:space="preserve">Final sedimentation tank J</t>
  </si>
  <si>
    <t xml:space="preserve">Final sedimentation tank K</t>
  </si>
  <si>
    <t xml:space="preserve">Final sedimentation tank L</t>
  </si>
  <si>
    <t xml:space="preserve">Fire / services / cooling</t>
  </si>
  <si>
    <t xml:space="preserve">Civil Guide Rev00 coordination reconstruction</t>
  </si>
  <si>
    <t xml:space="preserve">Primary sludge thickener A</t>
  </si>
  <si>
    <t xml:space="preserve">Structural template available</t>
  </si>
  <si>
    <t xml:space="preserve">Primary sludge thickener B</t>
  </si>
  <si>
    <t xml:space="preserve">Primary sludge thickener C</t>
  </si>
  <si>
    <t xml:space="preserve">Primary sludge thickener D</t>
  </si>
  <si>
    <t xml:space="preserve">Digester 01 — anaerobic</t>
  </si>
  <si>
    <t xml:space="preserve">Mixed-source provisional coordination envelope</t>
  </si>
  <si>
    <t xml:space="preserve">Digester 02 — anaerobic</t>
  </si>
  <si>
    <t xml:space="preserve">Digester 03 — anaerobic</t>
  </si>
  <si>
    <t xml:space="preserve">Digester 04 — anaerobic</t>
  </si>
  <si>
    <t xml:space="preserve">Digester 05 — anaerobic</t>
  </si>
  <si>
    <t xml:space="preserve">Digester 06 — anaerobic</t>
  </si>
  <si>
    <t xml:space="preserve">Digester 07 — anaerobic</t>
  </si>
  <si>
    <t xml:space="preserve">Digester 08 — anaerobic</t>
  </si>
  <si>
    <t xml:space="preserve">Gas holder 01 - civil plinth</t>
  </si>
  <si>
    <t xml:space="preserve">Tender provisional civil plinth only; equipment unmodelled</t>
  </si>
  <si>
    <t xml:space="preserve">Gas holder 02 - civil plinth</t>
  </si>
  <si>
    <t xml:space="preserve">Gas holder 03 - civil plinth</t>
  </si>
  <si>
    <t xml:space="preserve">Gas holder 04 - civil plinth</t>
  </si>
  <si>
    <t xml:space="preserve">010 Gas Holder Blower House</t>
  </si>
  <si>
    <t xml:space="preserve">Tender provisional civil envelope</t>
  </si>
  <si>
    <t xml:space="preserve">014 Digested Sludge Building 01</t>
  </si>
  <si>
    <t xml:space="preserve">Mixed-source provisional civil reconstruction</t>
  </si>
  <si>
    <t xml:space="preserve">014 Digested Sludge Building 02</t>
  </si>
  <si>
    <t xml:space="preserve">015 Grease Pump Station</t>
  </si>
  <si>
    <t xml:space="preserve">Tender provisional civil reconstruction</t>
  </si>
  <si>
    <t xml:space="preserve">016 Scum Pump Station</t>
  </si>
  <si>
    <t xml:space="preserve">019 WAS Predewatering Building</t>
  </si>
  <si>
    <t xml:space="preserve">021 THP System - civil platform</t>
  </si>
  <si>
    <t xml:space="preserve">Tender mixed provisional civil envelope</t>
  </si>
  <si>
    <t xml:space="preserve">024 New Final Dewatering Building</t>
  </si>
  <si>
    <t xml:space="preserve">022 CHP Building</t>
  </si>
  <si>
    <t xml:space="preserve">018 New Chlorination Storage Building</t>
  </si>
  <si>
    <t xml:space="preserve">020 Air Blowers Power House</t>
  </si>
  <si>
    <t xml:space="preserve">Total</t>
  </si>
  <si>
    <t xml:space="preserve">Underground pipework - quantities per line</t>
  </si>
  <si>
    <t xml:space="preserve">Lengths, sizes and fittings from the v3 package workbook (21 Oct 2026). Excavation, sheet piles, piled slab, piles, backfill, dewatering and flotation from the sequence workbook (22 Oct 2026: GWL -1.50, all pipes on piled slabs). Surround is a formula.</t>
  </si>
  <si>
    <t xml:space="preserve">Line</t>
  </si>
  <si>
    <t xml:space="preserve">Material</t>
  </si>
  <si>
    <t xml:space="preserve">Printed size</t>
  </si>
  <si>
    <t xml:space="preserve">Planning OD (m)</t>
  </si>
  <si>
    <t xml:space="preserve">3D length (m)</t>
  </si>
  <si>
    <t xml:space="preserve">Packages</t>
  </si>
  <si>
    <t xml:space="preserve">Tie-in / connection ends</t>
  </si>
  <si>
    <t xml:space="preserve">Elbow 30</t>
  </si>
  <si>
    <t xml:space="preserve">Elbow 45</t>
  </si>
  <si>
    <t xml:space="preserve">Elbow 90</t>
  </si>
  <si>
    <t xml:space="preserve">Elbow (angle not stated)</t>
  </si>
  <si>
    <t xml:space="preserve">Flange</t>
  </si>
  <si>
    <t xml:space="preserve">Reducer</t>
  </si>
  <si>
    <t xml:space="preserve">Tee</t>
  </si>
  <si>
    <t xml:space="preserve">Stub end</t>
  </si>
  <si>
    <t xml:space="preserve">Excavation shored (m3)</t>
  </si>
  <si>
    <t xml:space="preserve">Excavation open cut (m3)</t>
  </si>
  <si>
    <t xml:space="preserve">Sheet pile area (m2)</t>
  </si>
  <si>
    <t xml:space="preserve">Sheet pile wall (m)</t>
  </si>
  <si>
    <t xml:space="preserve">Piled slab concrete (m3)</t>
  </si>
  <si>
    <t xml:space="preserve">Pipe-support piles (no.)</t>
  </si>
  <si>
    <t xml:space="preserve">Granular surround (m3)</t>
  </si>
  <si>
    <t xml:space="preserve">Dewatered length (m)</t>
  </si>
  <si>
    <t xml:space="preserve">Dewatering package-days</t>
  </si>
  <si>
    <t xml:space="preserve">Pipe length needing anchor straps (m)</t>
  </si>
  <si>
    <t xml:space="preserve">Crossings to locate (no. packages)</t>
  </si>
  <si>
    <t xml:space="preserve">UG-01</t>
  </si>
  <si>
    <t xml:space="preserve">GRP</t>
  </si>
  <si>
    <t xml:space="preserve">DN2500</t>
  </si>
  <si>
    <t xml:space="preserve">UG-02</t>
  </si>
  <si>
    <t xml:space="preserve">DN2000</t>
  </si>
  <si>
    <t xml:space="preserve">UG-03</t>
  </si>
  <si>
    <t xml:space="preserve">UG-04</t>
  </si>
  <si>
    <t xml:space="preserve">UG-05</t>
  </si>
  <si>
    <t xml:space="preserve">DN2200</t>
  </si>
  <si>
    <t xml:space="preserve">UG-06</t>
  </si>
  <si>
    <t xml:space="preserve">UG-07</t>
  </si>
  <si>
    <t xml:space="preserve">UG-07A</t>
  </si>
  <si>
    <t xml:space="preserve">HDPE</t>
  </si>
  <si>
    <t xml:space="preserve">OD1600</t>
  </si>
  <si>
    <t xml:space="preserve">UG-12</t>
  </si>
  <si>
    <t xml:space="preserve">UG-12A</t>
  </si>
  <si>
    <t xml:space="preserve">DN1600 as printed</t>
  </si>
  <si>
    <t xml:space="preserve">UG-15</t>
  </si>
  <si>
    <t xml:space="preserve">UG-15A</t>
  </si>
  <si>
    <t xml:space="preserve">UG-08</t>
  </si>
  <si>
    <t xml:space="preserve">DN2600</t>
  </si>
  <si>
    <t xml:space="preserve">UG-09</t>
  </si>
  <si>
    <t xml:space="preserve">UG-10</t>
  </si>
  <si>
    <t xml:space="preserve">UG-11</t>
  </si>
  <si>
    <t xml:space="preserve">UG-11A</t>
  </si>
  <si>
    <t xml:space="preserve">OD1400</t>
  </si>
  <si>
    <t xml:space="preserve">UG-11B</t>
  </si>
  <si>
    <t xml:space="preserve">UG-13</t>
  </si>
  <si>
    <t xml:space="preserve">UG-13A</t>
  </si>
  <si>
    <t xml:space="preserve">UG-13B</t>
  </si>
  <si>
    <t xml:space="preserve">UG-14E</t>
  </si>
  <si>
    <t xml:space="preserve">UG-14F</t>
  </si>
  <si>
    <t xml:space="preserve">UG-14G</t>
  </si>
  <si>
    <t xml:space="preserve">UG-14H</t>
  </si>
  <si>
    <t xml:space="preserve">UG-16A</t>
  </si>
  <si>
    <t xml:space="preserve">UG-16B</t>
  </si>
  <si>
    <t xml:space="preserve">UG-16C</t>
  </si>
  <si>
    <t xml:space="preserve">UG-16D</t>
  </si>
  <si>
    <t xml:space="preserve">UG-27I</t>
  </si>
  <si>
    <t xml:space="preserve">UG-27J</t>
  </si>
  <si>
    <t xml:space="preserve">UG-27K</t>
  </si>
  <si>
    <t xml:space="preserve">UG-27L</t>
  </si>
  <si>
    <t xml:space="preserve">UG-17</t>
  </si>
  <si>
    <t xml:space="preserve">UG-18</t>
  </si>
  <si>
    <t xml:space="preserve">UG-19</t>
  </si>
  <si>
    <t xml:space="preserve">DN1800</t>
  </si>
  <si>
    <t xml:space="preserve">UG-20</t>
  </si>
  <si>
    <t xml:space="preserve">UG-21</t>
  </si>
  <si>
    <t xml:space="preserve">UG-22</t>
  </si>
  <si>
    <t xml:space="preserve">UG-23</t>
  </si>
  <si>
    <t xml:space="preserve">OD600</t>
  </si>
  <si>
    <t xml:space="preserve">UG-24</t>
  </si>
  <si>
    <t xml:space="preserve">UG-25</t>
  </si>
  <si>
    <t xml:space="preserve">DN2400</t>
  </si>
  <si>
    <t xml:space="preserve">UG-26</t>
  </si>
  <si>
    <t xml:space="preserve">UG-28</t>
  </si>
  <si>
    <t xml:space="preserve">OD500</t>
  </si>
  <si>
    <t xml:space="preserve">UG-28A</t>
  </si>
  <si>
    <t xml:space="preserve">OD315</t>
  </si>
  <si>
    <t xml:space="preserve">Exclusions, gaps and how to improve the estimate</t>
  </si>
  <si>
    <t xml:space="preserve">Status</t>
  </si>
  <si>
    <t xml:space="preserve">Preliminaries, site establishment, supervision, insurances, contingency</t>
  </si>
  <si>
    <t xml:space="preserve">Not included.</t>
  </si>
  <si>
    <t xml:space="preserve">Mechanical, electrical, instrumentation and process equipment</t>
  </si>
  <si>
    <t xml:space="preserve">Not included. Equipment envelopes in the model are listed as counts only.</t>
  </si>
  <si>
    <t xml:space="preserve">Architecture and finishes (doors, windows, cladding, finishes, MEP in buildings)</t>
  </si>
  <si>
    <t xml:space="preserve">Not included; building walls are measured as concrete envelopes (material TBC).</t>
  </si>
  <si>
    <t xml:space="preserve">Pile lengths</t>
  </si>
  <si>
    <t xml:space="preserve">No pile design lengths in the model (display stubs). Piles are counted, not measured in metres.</t>
  </si>
  <si>
    <t xml:space="preserve">Piles for structures without pile layouts</t>
  </si>
  <si>
    <t xml:space="preserve">Allowance = footprint x PILE_DENS (calibrated on aeration). Replace with pile designs.</t>
  </si>
  <si>
    <t xml:space="preserve">Pipe-support piles</t>
  </si>
  <si>
    <t xml:space="preserve">Placeholder layout (rows at 3 m, 2 per row for OD &gt;= 1.0 m). Replace with design.</t>
  </si>
  <si>
    <t xml:space="preserve">Ratios per element class (Inputs). Only the aeration raft ratio is evidence-based.</t>
  </si>
  <si>
    <t xml:space="preserve">Dewatering and temporary works for structures</t>
  </si>
  <si>
    <t xml:space="preserve">Not quantified (no temporary works design); pipe dewatering and sheet piles are included.</t>
  </si>
  <si>
    <t xml:space="preserve">Existing structures and boundaries not in the model</t>
  </si>
  <si>
    <t xml:space="preserve">Existing PST, bypass / outfall chambers, treated effluent pump station, inlet / outlet boundaries, primary and thickened sludge pump stations, sludge flowmeter chambers: not measured.</t>
  </si>
  <si>
    <t xml:space="preserve">Structures modelled from tender / provisional envelopes</t>
  </si>
  <si>
    <t xml:space="preserve">Digesters, gas holders, sludge buildings, pump stations, CHP, THP, final dewatering: Confidence D.</t>
  </si>
  <si>
    <t xml:space="preserve">Typical structures</t>
  </si>
  <si>
    <t xml:space="preserve">FST A-L and thickeners A-D are typical structures placed 12 and 4 times; tank-specific differences not captured.</t>
  </si>
  <si>
    <t xml:space="preserve">Work done</t>
  </si>
  <si>
    <t xml:space="preserve">Gross quantities; no deduction for work executed (e.g. 2,079 aeration piles recorded done).</t>
  </si>
  <si>
    <t xml:space="preserve">Common vertical datum</t>
  </si>
  <si>
    <t xml:space="preserve">Not verified (R001); depths and excavation depend on it.</t>
  </si>
  <si>
    <t xml:space="preserve">Site raising</t>
  </si>
  <si>
    <t xml:space="preserve">Provisional: developed area is the convex hull of the model; levels NG -0.70 / FL +1.00 are single site values.</t>
  </si>
  <si>
    <t xml:space="preserve">Roads, drainage, landscaping, fencing, utilities, cable ducts</t>
  </si>
  <si>
    <t xml:space="preserve">Not in the model - not included.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</si>
</sst>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#,##0.0;\(#,##0.0\);\-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3" t="s">
        <v>6</v>
      </c>
    </row>
    <row r="9" customFormat="false" ht="23.8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3" t="s">
        <v>9</v>
      </c>
    </row>
    <row r="12" customFormat="false" ht="23.8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4" t="s">
        <v>12</v>
      </c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31.5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</row>
    <row r="5" customFormat="false" ht="15" hidden="false" customHeight="false" outlineLevel="0" collapsed="false">
      <c r="A5" s="6" t="s">
        <v>21</v>
      </c>
      <c r="B5" s="7" t="s">
        <v>22</v>
      </c>
      <c r="C5" s="8" t="n">
        <f aca="false">SUMIFS(BOQ!$G$5:$G$312,BOQ!$A$5:$A$312,A5)</f>
        <v>0</v>
      </c>
      <c r="D5" s="9" t="n">
        <f aca="false">IF($C$30=0,0,C5/$C$30)</f>
        <v>0</v>
      </c>
    </row>
    <row r="6" customFormat="false" ht="15" hidden="false" customHeight="false" outlineLevel="0" collapsed="false">
      <c r="A6" s="6" t="s">
        <v>23</v>
      </c>
      <c r="B6" s="7" t="s">
        <v>24</v>
      </c>
      <c r="C6" s="8" t="n">
        <f aca="false">SUMIFS(BOQ!$G$5:$G$312,BOQ!$A$5:$A$312,A6)</f>
        <v>0</v>
      </c>
      <c r="D6" s="9" t="n">
        <f aca="false">IF($C$30=0,0,C6/$C$30)</f>
        <v>0</v>
      </c>
    </row>
    <row r="7" customFormat="false" ht="15" hidden="false" customHeight="false" outlineLevel="0" collapsed="false">
      <c r="A7" s="6" t="s">
        <v>25</v>
      </c>
      <c r="B7" s="7" t="s">
        <v>26</v>
      </c>
      <c r="C7" s="8" t="n">
        <f aca="false">SUMIFS(BOQ!$G$5:$G$312,BOQ!$A$5:$A$312,A7)</f>
        <v>0</v>
      </c>
      <c r="D7" s="9" t="n">
        <f aca="false">IF($C$30=0,0,C7/$C$30)</f>
        <v>0</v>
      </c>
    </row>
    <row r="8" customFormat="false" ht="15" hidden="false" customHeight="false" outlineLevel="0" collapsed="false">
      <c r="A8" s="6" t="s">
        <v>27</v>
      </c>
      <c r="B8" s="7" t="s">
        <v>28</v>
      </c>
      <c r="C8" s="8" t="n">
        <f aca="false">SUMIFS(BOQ!$G$5:$G$312,BOQ!$A$5:$A$312,A8)</f>
        <v>0</v>
      </c>
      <c r="D8" s="9" t="n">
        <f aca="false">IF($C$30=0,0,C8/$C$30)</f>
        <v>0</v>
      </c>
    </row>
    <row r="9" customFormat="false" ht="15" hidden="false" customHeight="false" outlineLevel="0" collapsed="false">
      <c r="A9" s="6" t="s">
        <v>29</v>
      </c>
      <c r="B9" s="7" t="s">
        <v>30</v>
      </c>
      <c r="C9" s="8" t="n">
        <f aca="false">SUMIFS(BOQ!$G$5:$G$312,BOQ!$A$5:$A$312,A9)</f>
        <v>0</v>
      </c>
      <c r="D9" s="9" t="n">
        <f aca="false">IF($C$30=0,0,C9/$C$30)</f>
        <v>0</v>
      </c>
    </row>
    <row r="10" customFormat="false" ht="15" hidden="false" customHeight="false" outlineLevel="0" collapsed="false">
      <c r="A10" s="6" t="s">
        <v>31</v>
      </c>
      <c r="B10" s="7" t="s">
        <v>32</v>
      </c>
      <c r="C10" s="8" t="n">
        <f aca="false">SUMIFS(BOQ!$G$5:$G$312,BOQ!$A$5:$A$312,A10)</f>
        <v>0</v>
      </c>
      <c r="D10" s="9" t="n">
        <f aca="false">IF($C$30=0,0,C10/$C$30)</f>
        <v>0</v>
      </c>
    </row>
    <row r="11" customFormat="false" ht="15" hidden="false" customHeight="false" outlineLevel="0" collapsed="false">
      <c r="A11" s="6" t="s">
        <v>33</v>
      </c>
      <c r="B11" s="7" t="s">
        <v>34</v>
      </c>
      <c r="C11" s="8" t="n">
        <f aca="false">SUMIFS(BOQ!$G$5:$G$312,BOQ!$A$5:$A$312,A11)</f>
        <v>0</v>
      </c>
      <c r="D11" s="9" t="n">
        <f aca="false">IF($C$30=0,0,C11/$C$30)</f>
        <v>0</v>
      </c>
    </row>
    <row r="12" customFormat="false" ht="15" hidden="false" customHeight="false" outlineLevel="0" collapsed="false">
      <c r="A12" s="6" t="s">
        <v>35</v>
      </c>
      <c r="B12" s="7" t="s">
        <v>36</v>
      </c>
      <c r="C12" s="8" t="n">
        <f aca="false">SUMIFS(BOQ!$G$5:$G$312,BOQ!$A$5:$A$312,A12)</f>
        <v>0</v>
      </c>
      <c r="D12" s="9" t="n">
        <f aca="false">IF($C$30=0,0,C12/$C$30)</f>
        <v>0</v>
      </c>
    </row>
    <row r="13" customFormat="false" ht="15" hidden="false" customHeight="false" outlineLevel="0" collapsed="false">
      <c r="A13" s="6" t="s">
        <v>37</v>
      </c>
      <c r="B13" s="7" t="s">
        <v>38</v>
      </c>
      <c r="C13" s="8" t="n">
        <f aca="false">SUMIFS(BOQ!$G$5:$G$312,BOQ!$A$5:$A$312,A13)</f>
        <v>0</v>
      </c>
      <c r="D13" s="9" t="n">
        <f aca="false">IF($C$30=0,0,C13/$C$30)</f>
        <v>0</v>
      </c>
    </row>
    <row r="14" customFormat="false" ht="15" hidden="false" customHeight="false" outlineLevel="0" collapsed="false">
      <c r="A14" s="6" t="s">
        <v>39</v>
      </c>
      <c r="B14" s="7" t="s">
        <v>40</v>
      </c>
      <c r="C14" s="8" t="n">
        <f aca="false">SUMIFS(BOQ!$G$5:$G$312,BOQ!$A$5:$A$312,A14)</f>
        <v>0</v>
      </c>
      <c r="D14" s="9" t="n">
        <f aca="false">IF($C$30=0,0,C14/$C$30)</f>
        <v>0</v>
      </c>
    </row>
    <row r="15" customFormat="false" ht="15" hidden="false" customHeight="false" outlineLevel="0" collapsed="false">
      <c r="A15" s="6" t="s">
        <v>41</v>
      </c>
      <c r="B15" s="7" t="s">
        <v>42</v>
      </c>
      <c r="C15" s="8" t="n">
        <f aca="false">SUMIFS(BOQ!$G$5:$G$312,BOQ!$A$5:$A$312,A15)</f>
        <v>0</v>
      </c>
      <c r="D15" s="9" t="n">
        <f aca="false">IF($C$30=0,0,C15/$C$30)</f>
        <v>0</v>
      </c>
    </row>
    <row r="16" customFormat="false" ht="15" hidden="false" customHeight="false" outlineLevel="0" collapsed="false">
      <c r="A16" s="6" t="s">
        <v>43</v>
      </c>
      <c r="B16" s="7" t="s">
        <v>44</v>
      </c>
      <c r="C16" s="8" t="n">
        <f aca="false">SUMIFS(BOQ!$G$5:$G$312,BOQ!$A$5:$A$312,A16)</f>
        <v>0</v>
      </c>
      <c r="D16" s="9" t="n">
        <f aca="false">IF($C$30=0,0,C16/$C$30)</f>
        <v>0</v>
      </c>
    </row>
    <row r="17" customFormat="false" ht="15" hidden="false" customHeight="false" outlineLevel="0" collapsed="false">
      <c r="A17" s="6" t="s">
        <v>45</v>
      </c>
      <c r="B17" s="7" t="s">
        <v>46</v>
      </c>
      <c r="C17" s="8" t="n">
        <f aca="false">SUMIFS(BOQ!$G$5:$G$312,BOQ!$A$5:$A$312,A17)</f>
        <v>0</v>
      </c>
      <c r="D17" s="9" t="n">
        <f aca="false">IF($C$30=0,0,C17/$C$30)</f>
        <v>0</v>
      </c>
    </row>
    <row r="18" customFormat="false" ht="15" hidden="false" customHeight="false" outlineLevel="0" collapsed="false">
      <c r="A18" s="6" t="s">
        <v>47</v>
      </c>
      <c r="B18" s="7" t="s">
        <v>48</v>
      </c>
      <c r="C18" s="8" t="n">
        <f aca="false">SUMIFS(BOQ!$G$5:$G$312,BOQ!$A$5:$A$312,A18)</f>
        <v>0</v>
      </c>
      <c r="D18" s="9" t="n">
        <f aca="false">IF($C$30=0,0,C18/$C$30)</f>
        <v>0</v>
      </c>
    </row>
    <row r="19" customFormat="false" ht="15" hidden="false" customHeight="false" outlineLevel="0" collapsed="false">
      <c r="A19" s="6" t="s">
        <v>49</v>
      </c>
      <c r="B19" s="7" t="s">
        <v>50</v>
      </c>
      <c r="C19" s="8" t="n">
        <f aca="false">SUMIFS(BOQ!$G$5:$G$312,BOQ!$A$5:$A$312,A19)</f>
        <v>0</v>
      </c>
      <c r="D19" s="9" t="n">
        <f aca="false">IF($C$30=0,0,C19/$C$30)</f>
        <v>0</v>
      </c>
    </row>
    <row r="20" customFormat="false" ht="15" hidden="false" customHeight="false" outlineLevel="0" collapsed="false">
      <c r="A20" s="6" t="s">
        <v>51</v>
      </c>
      <c r="B20" s="7" t="s">
        <v>52</v>
      </c>
      <c r="C20" s="8" t="n">
        <f aca="false">SUMIFS(BOQ!$G$5:$G$312,BOQ!$A$5:$A$312,A20)</f>
        <v>0</v>
      </c>
      <c r="D20" s="9" t="n">
        <f aca="false">IF($C$30=0,0,C20/$C$30)</f>
        <v>0</v>
      </c>
    </row>
    <row r="21" customFormat="false" ht="15" hidden="false" customHeight="false" outlineLevel="0" collapsed="false">
      <c r="A21" s="6" t="s">
        <v>53</v>
      </c>
      <c r="B21" s="7" t="s">
        <v>54</v>
      </c>
      <c r="C21" s="8" t="n">
        <f aca="false">SUMIFS(BOQ!$G$5:$G$312,BOQ!$A$5:$A$312,A21)</f>
        <v>0</v>
      </c>
      <c r="D21" s="9" t="n">
        <f aca="false">IF($C$30=0,0,C21/$C$30)</f>
        <v>0</v>
      </c>
    </row>
    <row r="22" customFormat="false" ht="15" hidden="false" customHeight="false" outlineLevel="0" collapsed="false">
      <c r="A22" s="6" t="s">
        <v>55</v>
      </c>
      <c r="B22" s="7" t="s">
        <v>56</v>
      </c>
      <c r="C22" s="8" t="n">
        <f aca="false">SUMIFS(BOQ!$G$5:$G$312,BOQ!$A$5:$A$312,A22)</f>
        <v>0</v>
      </c>
      <c r="D22" s="9" t="n">
        <f aca="false">IF($C$30=0,0,C22/$C$30)</f>
        <v>0</v>
      </c>
    </row>
    <row r="23" customFormat="false" ht="15" hidden="false" customHeight="false" outlineLevel="0" collapsed="false">
      <c r="A23" s="6" t="s">
        <v>57</v>
      </c>
      <c r="B23" s="7" t="s">
        <v>58</v>
      </c>
      <c r="C23" s="8" t="n">
        <f aca="false">SUMIFS(BOQ!$G$5:$G$312,BOQ!$A$5:$A$312,A23)</f>
        <v>0</v>
      </c>
      <c r="D23" s="9" t="n">
        <f aca="false">IF($C$30=0,0,C23/$C$30)</f>
        <v>0</v>
      </c>
    </row>
    <row r="24" customFormat="false" ht="15" hidden="false" customHeight="false" outlineLevel="0" collapsed="false">
      <c r="A24" s="6" t="s">
        <v>59</v>
      </c>
      <c r="B24" s="7" t="s">
        <v>60</v>
      </c>
      <c r="C24" s="8" t="n">
        <f aca="false">SUMIFS(BOQ!$G$5:$G$312,BOQ!$A$5:$A$312,A24)</f>
        <v>0</v>
      </c>
      <c r="D24" s="9" t="n">
        <f aca="false">IF($C$30=0,0,C24/$C$30)</f>
        <v>0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f aca="false">SUMIFS(BOQ!$G$5:$G$312,BOQ!$A$5:$A$312,A25)</f>
        <v>0</v>
      </c>
      <c r="D25" s="9" t="n">
        <f aca="false">IF($C$30=0,0,C25/$C$30)</f>
        <v>0</v>
      </c>
    </row>
    <row r="26" customFormat="false" ht="15" hidden="false" customHeight="false" outlineLevel="0" collapsed="false">
      <c r="A26" s="6" t="s">
        <v>63</v>
      </c>
      <c r="B26" s="7" t="s">
        <v>64</v>
      </c>
      <c r="C26" s="8" t="n">
        <f aca="false">SUMIFS(BOQ!$G$5:$G$312,BOQ!$A$5:$A$312,A26)</f>
        <v>0</v>
      </c>
      <c r="D26" s="9" t="n">
        <f aca="false">IF($C$30=0,0,C26/$C$30)</f>
        <v>0</v>
      </c>
    </row>
    <row r="27" customFormat="false" ht="15" hidden="false" customHeight="false" outlineLevel="0" collapsed="false">
      <c r="A27" s="6" t="s">
        <v>65</v>
      </c>
      <c r="B27" s="7" t="s">
        <v>66</v>
      </c>
      <c r="C27" s="8" t="n">
        <f aca="false">SUMIFS(BOQ!$G$5:$G$312,BOQ!$A$5:$A$312,A27)</f>
        <v>0</v>
      </c>
      <c r="D27" s="9" t="n">
        <f aca="false">IF($C$30=0,0,C27/$C$30)</f>
        <v>0</v>
      </c>
    </row>
    <row r="28" customFormat="false" ht="15" hidden="false" customHeight="false" outlineLevel="0" collapsed="false">
      <c r="A28" s="6" t="s">
        <v>67</v>
      </c>
      <c r="B28" s="7" t="s">
        <v>68</v>
      </c>
      <c r="C28" s="8" t="n">
        <f aca="false">SUMIFS(BOQ!$G$5:$G$312,BOQ!$A$5:$A$312,A28)</f>
        <v>0</v>
      </c>
      <c r="D28" s="9" t="n">
        <f aca="false">IF($C$30=0,0,C28/$C$30)</f>
        <v>0</v>
      </c>
    </row>
    <row r="29" customFormat="false" ht="15" hidden="false" customHeight="false" outlineLevel="0" collapsed="false">
      <c r="A29" s="6" t="s">
        <v>69</v>
      </c>
      <c r="B29" s="7" t="s">
        <v>70</v>
      </c>
      <c r="C29" s="8" t="n">
        <f aca="false">SUMIFS(BOQ!$G$5:$G$312,BOQ!$A$5:$A$312,A29)</f>
        <v>0</v>
      </c>
      <c r="D29" s="9" t="n">
        <f aca="false">IF($C$30=0,0,C29/$C$30)</f>
        <v>0</v>
      </c>
    </row>
    <row r="30" customFormat="false" ht="15" hidden="false" customHeight="false" outlineLevel="0" collapsed="false">
      <c r="B30" s="6" t="s">
        <v>71</v>
      </c>
      <c r="C30" s="10" t="n">
        <f aca="false">SUM(C5:C29)</f>
        <v>0</v>
      </c>
    </row>
    <row r="32" customFormat="false" ht="15" hidden="false" customHeight="false" outlineLevel="0" collapsed="false">
      <c r="A32" s="6" t="s">
        <v>72</v>
      </c>
    </row>
    <row r="33" customFormat="false" ht="15" hidden="false" customHeight="false" outlineLevel="0" collapsed="false">
      <c r="A33" s="11" t="s">
        <v>73</v>
      </c>
      <c r="B33" s="11" t="s">
        <v>74</v>
      </c>
      <c r="C33" s="11" t="s">
        <v>75</v>
      </c>
      <c r="D33" s="11" t="s">
        <v>18</v>
      </c>
    </row>
    <row r="34" customFormat="false" ht="15" hidden="false" customHeight="false" outlineLevel="0" collapsed="false">
      <c r="A34" s="6" t="s">
        <v>76</v>
      </c>
      <c r="B34" s="8" t="n">
        <f aca="false">SUMIFS(BOQ!$E$5:$E$312,BOQ!$H$5:$H$312,A34)</f>
        <v>88694.9491225996</v>
      </c>
      <c r="C34" s="7" t="s">
        <v>77</v>
      </c>
      <c r="D34" s="7" t="s">
        <v>78</v>
      </c>
    </row>
    <row r="35" customFormat="false" ht="15" hidden="false" customHeight="false" outlineLevel="0" collapsed="false">
      <c r="A35" s="6" t="s">
        <v>79</v>
      </c>
      <c r="B35" s="8" t="n">
        <f aca="false">SUMIFS(BOQ!$E$5:$E$312,BOQ!$H$5:$H$312,A35)</f>
        <v>41276.1457122728</v>
      </c>
      <c r="C35" s="7" t="s">
        <v>77</v>
      </c>
      <c r="D35" s="7" t="s">
        <v>80</v>
      </c>
    </row>
    <row r="36" customFormat="false" ht="15" hidden="false" customHeight="false" outlineLevel="0" collapsed="false">
      <c r="A36" s="6" t="s">
        <v>81</v>
      </c>
      <c r="B36" s="8" t="n">
        <f aca="false">SUMIFS(BOQ!$E$5:$E$312,BOQ!$H$5:$H$312,A36)</f>
        <v>5605.60173808467</v>
      </c>
      <c r="C36" s="7" t="s">
        <v>77</v>
      </c>
      <c r="D36" s="7" t="s">
        <v>82</v>
      </c>
    </row>
    <row r="37" customFormat="false" ht="15" hidden="false" customHeight="false" outlineLevel="0" collapsed="false">
      <c r="A37" s="6" t="s">
        <v>83</v>
      </c>
      <c r="B37" s="8" t="n">
        <f aca="false">SUMIFS(BOQ!$E$5:$E$312,BOQ!$H$5:$H$312,A37)</f>
        <v>432.112271218027</v>
      </c>
      <c r="C37" s="7" t="s">
        <v>77</v>
      </c>
      <c r="D37" s="7" t="s">
        <v>84</v>
      </c>
    </row>
    <row r="38" customFormat="false" ht="15" hidden="false" customHeight="false" outlineLevel="0" collapsed="false">
      <c r="A38" s="6" t="s">
        <v>85</v>
      </c>
      <c r="B38" s="8" t="n">
        <f aca="false">SUMIFS(BOQ!$E$5:$E$312,BOQ!$H$5:$H$312,A38)</f>
        <v>7944.63777777785</v>
      </c>
      <c r="C38" s="7" t="s">
        <v>77</v>
      </c>
      <c r="D38" s="7" t="s">
        <v>86</v>
      </c>
    </row>
    <row r="39" customFormat="false" ht="15" hidden="false" customHeight="false" outlineLevel="0" collapsed="false">
      <c r="A39" s="6" t="s">
        <v>87</v>
      </c>
      <c r="B39" s="8" t="n">
        <f aca="false">SUMIFS(BOQ!$E$5:$E$312,BOQ!$H$5:$H$312,A39)</f>
        <v>1816.25747425715</v>
      </c>
      <c r="C39" s="7" t="s">
        <v>77</v>
      </c>
      <c r="D39" s="7" t="s">
        <v>88</v>
      </c>
    </row>
    <row r="40" customFormat="false" ht="15" hidden="false" customHeight="false" outlineLevel="0" collapsed="false">
      <c r="A40" s="6" t="s">
        <v>89</v>
      </c>
      <c r="B40" s="8" t="n">
        <f aca="false">SUMIFS(BOQ!$E$5:$E$312,BOQ!$H$5:$H$312,A40)</f>
        <v>21.3213971646662</v>
      </c>
      <c r="C40" s="7" t="s">
        <v>77</v>
      </c>
      <c r="D40" s="7" t="s">
        <v>90</v>
      </c>
    </row>
    <row r="41" customFormat="false" ht="15" hidden="false" customHeight="false" outlineLevel="0" collapsed="false">
      <c r="A41" s="6" t="s">
        <v>91</v>
      </c>
      <c r="B41" s="8" t="n">
        <f aca="false">SUMIFS(BOQ!$E$5:$E$312,BOQ!$H$5:$H$312,A41)</f>
        <v>6091.65465310368</v>
      </c>
      <c r="C41" s="7" t="s">
        <v>77</v>
      </c>
      <c r="D41" s="7" t="s">
        <v>92</v>
      </c>
    </row>
    <row r="42" customFormat="false" ht="15" hidden="false" customHeight="false" outlineLevel="0" collapsed="false">
      <c r="A42" s="6" t="s">
        <v>93</v>
      </c>
      <c r="B42" s="8" t="n">
        <f aca="false">SUMIFS(BOQ!$E$5:$E$312,BOQ!$H$5:$H$312,A42)</f>
        <v>590.74257414396</v>
      </c>
      <c r="C42" s="7" t="s">
        <v>77</v>
      </c>
      <c r="D42" s="7" t="s">
        <v>94</v>
      </c>
    </row>
    <row r="43" customFormat="false" ht="15" hidden="false" customHeight="false" outlineLevel="0" collapsed="false">
      <c r="A43" s="6" t="s">
        <v>95</v>
      </c>
      <c r="B43" s="8" t="n">
        <f aca="false">SUMIFS(BOQ!$E$5:$E$312,BOQ!$H$5:$H$312,A43)</f>
        <v>221442.085162256</v>
      </c>
      <c r="C43" s="7" t="s">
        <v>96</v>
      </c>
      <c r="D43" s="7" t="s">
        <v>97</v>
      </c>
    </row>
    <row r="44" customFormat="false" ht="15" hidden="false" customHeight="false" outlineLevel="0" collapsed="false">
      <c r="A44" s="6" t="s">
        <v>98</v>
      </c>
      <c r="B44" s="8" t="n">
        <f aca="false">SUMIFS(BOQ!$E$5:$E$312,BOQ!$H$5:$H$312,A44)</f>
        <v>17293.2065877534</v>
      </c>
      <c r="C44" s="7" t="s">
        <v>99</v>
      </c>
      <c r="D44" s="7" t="s">
        <v>100</v>
      </c>
    </row>
    <row r="45" customFormat="false" ht="15" hidden="false" customHeight="false" outlineLevel="0" collapsed="false">
      <c r="A45" s="6" t="s">
        <v>101</v>
      </c>
      <c r="B45" s="8" t="n">
        <f aca="false">SUMIFS(BOQ!$E$5:$E$312,BOQ!$H$5:$H$312,A45)</f>
        <v>0</v>
      </c>
      <c r="C45" s="7" t="s">
        <v>99</v>
      </c>
      <c r="D45" s="7" t="s">
        <v>102</v>
      </c>
    </row>
    <row r="46" customFormat="false" ht="15" hidden="false" customHeight="false" outlineLevel="0" collapsed="false">
      <c r="A46" s="6" t="s">
        <v>103</v>
      </c>
      <c r="B46" s="8" t="n">
        <f aca="false">SUMIFS(BOQ!$E$5:$E$312,BOQ!$H$5:$H$312,A46)</f>
        <v>15994</v>
      </c>
      <c r="C46" s="7" t="s">
        <v>104</v>
      </c>
      <c r="D46" s="7" t="s">
        <v>105</v>
      </c>
    </row>
    <row r="47" customFormat="false" ht="15" hidden="false" customHeight="false" outlineLevel="0" collapsed="false">
      <c r="A47" s="6" t="s">
        <v>106</v>
      </c>
      <c r="B47" s="8" t="n">
        <f aca="false">SUMIFS(BOQ!$E$5:$E$312,BOQ!$H$5:$H$312,A47)</f>
        <v>511247.102347725</v>
      </c>
      <c r="C47" s="7" t="s">
        <v>77</v>
      </c>
      <c r="D47" s="7" t="s">
        <v>107</v>
      </c>
    </row>
    <row r="48" customFormat="false" ht="15" hidden="false" customHeight="false" outlineLevel="0" collapsed="false">
      <c r="A48" s="6" t="s">
        <v>108</v>
      </c>
      <c r="B48" s="8" t="n">
        <f aca="false">SUMIFS(BOQ!$E$5:$E$312,BOQ!$H$5:$H$312,A48)</f>
        <v>184618.445256167</v>
      </c>
      <c r="C48" s="7" t="s">
        <v>77</v>
      </c>
      <c r="D48" s="7" t="s">
        <v>109</v>
      </c>
    </row>
    <row r="49" customFormat="false" ht="15" hidden="false" customHeight="false" outlineLevel="0" collapsed="false">
      <c r="A49" s="6" t="s">
        <v>110</v>
      </c>
      <c r="B49" s="8" t="n">
        <f aca="false">SUMIFS(BOQ!$E$5:$E$312,BOQ!$H$5:$H$312,A49)</f>
        <v>116308.607642288</v>
      </c>
      <c r="C49" s="7" t="s">
        <v>96</v>
      </c>
      <c r="D49" s="7" t="s">
        <v>111</v>
      </c>
    </row>
    <row r="50" customFormat="false" ht="15" hidden="false" customHeight="false" outlineLevel="0" collapsed="false">
      <c r="A50" s="6" t="s">
        <v>112</v>
      </c>
      <c r="B50" s="8" t="n">
        <f aca="false">SUMIFS(BOQ!$E$5:$E$312,BOQ!$H$5:$H$312,A50)</f>
        <v>8294.33023764184</v>
      </c>
      <c r="C50" s="7" t="s">
        <v>113</v>
      </c>
      <c r="D50" s="7" t="s">
        <v>114</v>
      </c>
    </row>
    <row r="51" customFormat="false" ht="15" hidden="false" customHeight="false" outlineLevel="0" collapsed="false">
      <c r="A51" s="6" t="s">
        <v>115</v>
      </c>
      <c r="B51" s="8" t="n">
        <f aca="false">SUMIFS(BOQ!$E$5:$E$312,BOQ!$H$5:$H$312,A51)</f>
        <v>474</v>
      </c>
      <c r="C51" s="7" t="s">
        <v>104</v>
      </c>
      <c r="D51" s="7" t="s">
        <v>116</v>
      </c>
    </row>
    <row r="52" customFormat="false" ht="15" hidden="false" customHeight="false" outlineLevel="0" collapsed="false">
      <c r="A52" s="6" t="s">
        <v>117</v>
      </c>
      <c r="B52" s="8" t="n">
        <f aca="false">SUMIFS(BOQ!$E$5:$E$312,BOQ!$H$5:$H$312,A52)</f>
        <v>5411.83662700653</v>
      </c>
      <c r="C52" s="7" t="s">
        <v>113</v>
      </c>
      <c r="D52" s="7" t="s">
        <v>118</v>
      </c>
    </row>
    <row r="53" customFormat="false" ht="15" hidden="false" customHeight="false" outlineLevel="0" collapsed="false">
      <c r="A53" s="6" t="s">
        <v>119</v>
      </c>
      <c r="B53" s="8" t="n">
        <f aca="false">SUMIFS(BOQ!$E$5:$E$312,BOQ!$H$5:$H$312,A53)</f>
        <v>378367.47</v>
      </c>
      <c r="C53" s="7" t="s">
        <v>77</v>
      </c>
      <c r="D53" s="7" t="s">
        <v>120</v>
      </c>
    </row>
    <row r="54" customFormat="false" ht="15" hidden="false" customHeight="false" outlineLevel="0" collapsed="false">
      <c r="A54" s="6" t="s">
        <v>121</v>
      </c>
      <c r="B54" s="10" t="n">
        <f aca="false">SUM(B34:B40)</f>
        <v>145791.025493375</v>
      </c>
      <c r="C54" s="7" t="s">
        <v>77</v>
      </c>
      <c r="D54" s="7" t="s">
        <v>122</v>
      </c>
    </row>
    <row r="56" customFormat="false" ht="15" hidden="false" customHeight="false" outlineLevel="0" collapsed="false">
      <c r="A56" s="6" t="s">
        <v>123</v>
      </c>
    </row>
    <row r="57" customFormat="false" ht="15" hidden="false" customHeight="false" outlineLevel="0" collapsed="false">
      <c r="A57" s="6" t="s">
        <v>124</v>
      </c>
      <c r="B57" s="6"/>
      <c r="C57" s="8" t="n">
        <f aca="false">SUMIFS('Take-off'!$E$5:$E$334,'Take-off'!$A$5:$A$334,"AER",'Take-off'!$C$5:$C$334,"RC_BASE")</f>
        <v>30119.8340056018</v>
      </c>
      <c r="D57" s="12" t="n">
        <v>30012.624</v>
      </c>
      <c r="E57" s="7" t="s">
        <v>125</v>
      </c>
    </row>
    <row r="58" customFormat="false" ht="15" hidden="false" customHeight="false" outlineLevel="0" collapsed="false">
      <c r="A58" s="6" t="s">
        <v>126</v>
      </c>
      <c r="B58" s="6"/>
      <c r="C58" s="8" t="n">
        <f aca="false">SUMIFS(Structures!$L$5:$L$55,Structures!$A$5:$A$55,"AER")</f>
        <v>3672</v>
      </c>
      <c r="D58" s="12" t="n">
        <v>3672</v>
      </c>
      <c r="E58" s="7" t="s">
        <v>127</v>
      </c>
    </row>
  </sheetData>
  <mergeCells count="2">
    <mergeCell ref="A57:B57"/>
    <mergeCell ref="A58:B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70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60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31.5" hidden="false" customHeight="true" outlineLevel="0" collapsed="false">
      <c r="A4" s="5" t="s">
        <v>17</v>
      </c>
      <c r="B4" s="5" t="s">
        <v>130</v>
      </c>
      <c r="C4" s="5" t="s">
        <v>18</v>
      </c>
      <c r="D4" s="5" t="s">
        <v>75</v>
      </c>
      <c r="E4" s="5" t="s">
        <v>74</v>
      </c>
      <c r="F4" s="5" t="s">
        <v>131</v>
      </c>
      <c r="G4" s="5" t="s">
        <v>19</v>
      </c>
      <c r="H4" s="5" t="s">
        <v>73</v>
      </c>
      <c r="I4" s="5" t="s">
        <v>132</v>
      </c>
      <c r="J4" s="5" t="s">
        <v>11</v>
      </c>
    </row>
    <row r="5" customFormat="false" ht="15" hidden="false" customHeight="false" outlineLevel="0" collapsed="false">
      <c r="A5" s="13" t="s">
        <v>21</v>
      </c>
      <c r="B5" s="14"/>
      <c r="C5" s="13" t="s">
        <v>22</v>
      </c>
      <c r="D5" s="14"/>
      <c r="E5" s="14"/>
      <c r="F5" s="14"/>
      <c r="G5" s="14"/>
      <c r="H5" s="14"/>
      <c r="I5" s="14"/>
      <c r="J5" s="14"/>
    </row>
    <row r="6" customFormat="false" ht="23.85" hidden="false" customHeight="false" outlineLevel="0" collapsed="false">
      <c r="A6" s="7" t="s">
        <v>21</v>
      </c>
      <c r="B6" s="7" t="s">
        <v>133</v>
      </c>
      <c r="C6" s="15" t="s">
        <v>134</v>
      </c>
      <c r="D6" s="7" t="s">
        <v>77</v>
      </c>
      <c r="E6" s="8" t="n">
        <f aca="false">SUMIFS(Structures!$I$5:$I$55,Structures!$A$5:$A$55,"GRT")</f>
        <v>1180.79199905161</v>
      </c>
      <c r="F6" s="16"/>
      <c r="G6" s="8" t="n">
        <f aca="false">E6*F6</f>
        <v>0</v>
      </c>
      <c r="H6" s="7" t="s">
        <v>106</v>
      </c>
      <c r="I6" s="15" t="s">
        <v>135</v>
      </c>
      <c r="J6" s="7" t="s">
        <v>136</v>
      </c>
    </row>
    <row r="7" customFormat="false" ht="15" hidden="false" customHeight="false" outlineLevel="0" collapsed="false">
      <c r="A7" s="7" t="s">
        <v>21</v>
      </c>
      <c r="B7" s="7" t="s">
        <v>137</v>
      </c>
      <c r="C7" s="15" t="s">
        <v>138</v>
      </c>
      <c r="D7" s="7" t="s">
        <v>77</v>
      </c>
      <c r="E7" s="8" t="n">
        <f aca="false">SUMIFS(Structures!$J$5:$J$55,Structures!$A$5:$A$55,"GRT")</f>
        <v>1002.79199905161</v>
      </c>
      <c r="F7" s="16"/>
      <c r="G7" s="8" t="n">
        <f aca="false">E7*F7</f>
        <v>0</v>
      </c>
      <c r="H7" s="7" t="s">
        <v>108</v>
      </c>
      <c r="I7" s="15" t="s">
        <v>139</v>
      </c>
      <c r="J7" s="7" t="s">
        <v>136</v>
      </c>
    </row>
    <row r="8" customFormat="false" ht="23.85" hidden="false" customHeight="false" outlineLevel="0" collapsed="false">
      <c r="A8" s="7" t="s">
        <v>21</v>
      </c>
      <c r="B8" s="7" t="s">
        <v>140</v>
      </c>
      <c r="C8" s="15" t="s">
        <v>141</v>
      </c>
      <c r="D8" s="7" t="s">
        <v>104</v>
      </c>
      <c r="E8" s="8" t="n">
        <f aca="false">SUMIFS(Structures!$N$5:$N$55,Structures!$A$5:$A$55,"GRT")</f>
        <v>65</v>
      </c>
      <c r="F8" s="16"/>
      <c r="G8" s="8" t="n">
        <f aca="false">E8*F8</f>
        <v>0</v>
      </c>
      <c r="H8" s="7" t="s">
        <v>103</v>
      </c>
      <c r="I8" s="15" t="s">
        <v>142</v>
      </c>
      <c r="J8" s="7" t="s">
        <v>143</v>
      </c>
    </row>
    <row r="9" customFormat="false" ht="15" hidden="false" customHeight="false" outlineLevel="0" collapsed="false">
      <c r="A9" s="7" t="s">
        <v>21</v>
      </c>
      <c r="B9" s="7" t="s">
        <v>144</v>
      </c>
      <c r="C9" s="15" t="s">
        <v>145</v>
      </c>
      <c r="D9" s="7" t="s">
        <v>77</v>
      </c>
      <c r="E9" s="8" t="n">
        <f aca="false">SUMIFS('Take-off'!$E$5:$E$334,'Take-off'!$A$5:$A$334,"GRT",'Take-off'!$C$5:$C$334,"MASS_FILL")</f>
        <v>273.42936607793</v>
      </c>
      <c r="F9" s="16"/>
      <c r="G9" s="8" t="n">
        <f aca="false">E9*F9</f>
        <v>0</v>
      </c>
      <c r="H9" s="7" t="s">
        <v>93</v>
      </c>
      <c r="I9" s="15" t="s">
        <v>146</v>
      </c>
      <c r="J9" s="7" t="s">
        <v>136</v>
      </c>
    </row>
    <row r="10" customFormat="false" ht="15" hidden="false" customHeight="false" outlineLevel="0" collapsed="false">
      <c r="A10" s="7" t="s">
        <v>21</v>
      </c>
      <c r="B10" s="7" t="s">
        <v>147</v>
      </c>
      <c r="C10" s="15" t="s">
        <v>148</v>
      </c>
      <c r="D10" s="7" t="s">
        <v>77</v>
      </c>
      <c r="E10" s="8" t="n">
        <f aca="false">SUMIFS('Take-off'!$E$5:$E$334,'Take-off'!$A$5:$A$334,"GRT",'Take-off'!$C$5:$C$334,"RC_BASE")</f>
        <v>489.229443636882</v>
      </c>
      <c r="F10" s="16"/>
      <c r="G10" s="8" t="n">
        <f aca="false">E10*F10</f>
        <v>0</v>
      </c>
      <c r="H10" s="7" t="s">
        <v>76</v>
      </c>
      <c r="I10" s="15" t="s">
        <v>146</v>
      </c>
      <c r="J10" s="7" t="s">
        <v>136</v>
      </c>
    </row>
    <row r="11" customFormat="false" ht="15" hidden="false" customHeight="false" outlineLevel="0" collapsed="false">
      <c r="A11" s="7" t="s">
        <v>21</v>
      </c>
      <c r="B11" s="7" t="s">
        <v>149</v>
      </c>
      <c r="C11" s="15" t="s">
        <v>150</v>
      </c>
      <c r="D11" s="7" t="s">
        <v>77</v>
      </c>
      <c r="E11" s="8" t="n">
        <f aca="false">SUMIFS('Take-off'!$E$5:$E$334,'Take-off'!$A$5:$A$334,"GRT",'Take-off'!$C$5:$C$334,"RC_WALL")</f>
        <v>967.469832093182</v>
      </c>
      <c r="F11" s="16"/>
      <c r="G11" s="8" t="n">
        <f aca="false">E11*F11</f>
        <v>0</v>
      </c>
      <c r="H11" s="7" t="s">
        <v>79</v>
      </c>
      <c r="I11" s="15" t="s">
        <v>146</v>
      </c>
      <c r="J11" s="7" t="s">
        <v>136</v>
      </c>
    </row>
    <row r="12" customFormat="false" ht="15" hidden="false" customHeight="false" outlineLevel="0" collapsed="false">
      <c r="A12" s="7" t="s">
        <v>21</v>
      </c>
      <c r="B12" s="7" t="s">
        <v>151</v>
      </c>
      <c r="C12" s="15" t="s">
        <v>152</v>
      </c>
      <c r="D12" s="7" t="s">
        <v>77</v>
      </c>
      <c r="E12" s="8" t="n">
        <f aca="false">SUMIFS('Take-off'!$E$5:$E$334,'Take-off'!$A$5:$A$334,"GRT",'Take-off'!$C$5:$C$334,"RC_SLAB")</f>
        <v>224.803724268346</v>
      </c>
      <c r="F12" s="16"/>
      <c r="G12" s="8" t="n">
        <f aca="false">E12*F12</f>
        <v>0</v>
      </c>
      <c r="H12" s="7" t="s">
        <v>81</v>
      </c>
      <c r="I12" s="15" t="s">
        <v>146</v>
      </c>
      <c r="J12" s="7" t="s">
        <v>136</v>
      </c>
    </row>
    <row r="13" customFormat="false" ht="23.85" hidden="false" customHeight="false" outlineLevel="0" collapsed="false">
      <c r="A13" s="7" t="s">
        <v>21</v>
      </c>
      <c r="B13" s="7" t="s">
        <v>153</v>
      </c>
      <c r="C13" s="15" t="s">
        <v>154</v>
      </c>
      <c r="D13" s="7" t="s">
        <v>77</v>
      </c>
      <c r="E13" s="8" t="n">
        <f aca="false">SUMIFS('Take-off'!$E$5:$E$334,'Take-off'!$A$5:$A$334,"GRT",'Take-off'!$C$5:$C$334,"RC_MISC")</f>
        <v>31.3290356283998</v>
      </c>
      <c r="F13" s="16"/>
      <c r="G13" s="8" t="n">
        <f aca="false">E13*F13</f>
        <v>0</v>
      </c>
      <c r="H13" s="7" t="s">
        <v>85</v>
      </c>
      <c r="I13" s="15" t="s">
        <v>146</v>
      </c>
      <c r="J13" s="7" t="s">
        <v>136</v>
      </c>
    </row>
    <row r="14" customFormat="false" ht="15" hidden="false" customHeight="false" outlineLevel="0" collapsed="false">
      <c r="A14" s="7" t="s">
        <v>21</v>
      </c>
      <c r="B14" s="7" t="s">
        <v>155</v>
      </c>
      <c r="C14" s="15" t="s">
        <v>156</v>
      </c>
      <c r="D14" s="7" t="s">
        <v>96</v>
      </c>
      <c r="E14" s="8" t="n">
        <f aca="false">SUMIFS('Take-off'!$G$5:$G$334,'Take-off'!$A$5:$A$334,"GRT",'Take-off'!$C$5:$C$334,"RC_BASE")+SUMIFS('Take-off'!$G$5:$G$334,'Take-off'!$A$5:$A$334,"GRT",'Take-off'!$C$5:$C$334,"RC_WALL")+SUMIFS('Take-off'!$G$5:$G$334,'Take-off'!$A$5:$A$334,"GRT",'Take-off'!$C$5:$C$334,"RC_SLAB")+SUMIFS('Take-off'!$G$5:$G$334,'Take-off'!$A$5:$A$334,"GRT",'Take-off'!$C$5:$C$334,"RC_MISC")</f>
        <v>4909.45950372709</v>
      </c>
      <c r="F14" s="16"/>
      <c r="G14" s="8" t="n">
        <f aca="false">E14*F14</f>
        <v>0</v>
      </c>
      <c r="H14" s="7" t="s">
        <v>95</v>
      </c>
      <c r="I14" s="15" t="s">
        <v>157</v>
      </c>
      <c r="J14" s="7" t="s">
        <v>136</v>
      </c>
    </row>
    <row r="15" customFormat="false" ht="15" hidden="false" customHeight="false" outlineLevel="0" collapsed="false">
      <c r="A15" s="7" t="s">
        <v>21</v>
      </c>
      <c r="B15" s="7" t="s">
        <v>158</v>
      </c>
      <c r="C15" s="15" t="s">
        <v>159</v>
      </c>
      <c r="D15" s="7" t="s">
        <v>99</v>
      </c>
      <c r="E15" s="17" t="n">
        <f aca="false">(SUMIFS('Take-off'!$E$5:$E$334,'Take-off'!$A$5:$A$334,"GRT",'Take-off'!$C$5:$C$334,"RC_BASE")*RR_BASE+SUMIFS('Take-off'!$E$5:$E$334,'Take-off'!$A$5:$A$334,"GRT",'Take-off'!$C$5:$C$334,"RC_WALL")*RR_WALL+SUMIFS('Take-off'!$E$5:$E$334,'Take-off'!$A$5:$A$334,"GRT",'Take-off'!$C$5:$C$334,"RC_SLAB")*RR_SLAB+SUMIFS('Take-off'!$E$5:$E$334,'Take-off'!$A$5:$A$334,"GRT",'Take-off'!$C$5:$C$334,"RC_MISC")*RR_MISC)/1000</f>
        <v>221.090585748769</v>
      </c>
      <c r="F15" s="16"/>
      <c r="G15" s="8" t="n">
        <f aca="false">E15*F15</f>
        <v>0</v>
      </c>
      <c r="H15" s="7" t="s">
        <v>98</v>
      </c>
      <c r="I15" s="15" t="s">
        <v>160</v>
      </c>
      <c r="J15" s="7" t="s">
        <v>143</v>
      </c>
    </row>
    <row r="16" customFormat="false" ht="15" hidden="false" customHeight="false" outlineLevel="0" collapsed="false">
      <c r="A16" s="7" t="s">
        <v>21</v>
      </c>
      <c r="B16" s="7" t="s">
        <v>161</v>
      </c>
      <c r="C16" s="15" t="s">
        <v>162</v>
      </c>
      <c r="D16" s="7" t="s">
        <v>113</v>
      </c>
      <c r="E16" s="8" t="n">
        <f aca="false">SUMIFS('Take-off'!$H$5:$H$334,'Take-off'!$A$5:$A$334,"GRT",'Take-off'!$C$5:$C$334,"HANDRAIL")/RAILS_PER_RUN</f>
        <v>119.299999237061</v>
      </c>
      <c r="F16" s="16"/>
      <c r="G16" s="8" t="n">
        <f aca="false">E16*F16</f>
        <v>0</v>
      </c>
      <c r="H16" s="7" t="s">
        <v>117</v>
      </c>
      <c r="I16" s="15" t="s">
        <v>163</v>
      </c>
      <c r="J16" s="7" t="s">
        <v>143</v>
      </c>
    </row>
    <row r="17" customFormat="false" ht="15" hidden="false" customHeight="false" outlineLevel="0" collapsed="false">
      <c r="A17" s="7" t="s">
        <v>21</v>
      </c>
      <c r="B17" s="7" t="s">
        <v>164</v>
      </c>
      <c r="C17" s="15" t="s">
        <v>165</v>
      </c>
      <c r="D17" s="7" t="s">
        <v>77</v>
      </c>
      <c r="E17" s="8" t="n">
        <f aca="false">SUMIFS('Take-off'!$E$5:$E$334,'Take-off'!$A$5:$A$334,"GRT",'Take-off'!$C$5:$C$334,"STAIRS")</f>
        <v>41.3814496970613</v>
      </c>
      <c r="F17" s="16"/>
      <c r="G17" s="8" t="n">
        <f aca="false">E17*F17</f>
        <v>0</v>
      </c>
      <c r="H17" s="7" t="s">
        <v>166</v>
      </c>
      <c r="I17" s="15" t="s">
        <v>167</v>
      </c>
      <c r="J17" s="7" t="s">
        <v>143</v>
      </c>
    </row>
    <row r="18" customFormat="false" ht="15" hidden="false" customHeight="false" outlineLevel="0" collapsed="false">
      <c r="A18" s="13" t="s">
        <v>23</v>
      </c>
      <c r="B18" s="14"/>
      <c r="C18" s="13" t="s">
        <v>24</v>
      </c>
      <c r="D18" s="14"/>
      <c r="E18" s="14"/>
      <c r="F18" s="14"/>
      <c r="G18" s="14"/>
      <c r="H18" s="14"/>
      <c r="I18" s="14"/>
      <c r="J18" s="14"/>
    </row>
    <row r="19" customFormat="false" ht="23.85" hidden="false" customHeight="false" outlineLevel="0" collapsed="false">
      <c r="A19" s="7" t="s">
        <v>23</v>
      </c>
      <c r="B19" s="7" t="s">
        <v>168</v>
      </c>
      <c r="C19" s="15" t="s">
        <v>134</v>
      </c>
      <c r="D19" s="7" t="s">
        <v>77</v>
      </c>
      <c r="E19" s="8" t="n">
        <f aca="false">SUMIFS(Structures!$I$5:$I$55,Structures!$A$5:$A$55,"PST")</f>
        <v>56094.7609244445</v>
      </c>
      <c r="F19" s="16"/>
      <c r="G19" s="8" t="n">
        <f aca="false">E19*F19</f>
        <v>0</v>
      </c>
      <c r="H19" s="7" t="s">
        <v>106</v>
      </c>
      <c r="I19" s="15" t="s">
        <v>135</v>
      </c>
      <c r="J19" s="7" t="s">
        <v>136</v>
      </c>
    </row>
    <row r="20" customFormat="false" ht="15" hidden="false" customHeight="false" outlineLevel="0" collapsed="false">
      <c r="A20" s="7" t="s">
        <v>23</v>
      </c>
      <c r="B20" s="7" t="s">
        <v>169</v>
      </c>
      <c r="C20" s="15" t="s">
        <v>138</v>
      </c>
      <c r="D20" s="7" t="s">
        <v>77</v>
      </c>
      <c r="E20" s="8" t="n">
        <f aca="false">SUMIFS(Structures!$J$5:$J$55,Structures!$A$5:$A$55,"PST")</f>
        <v>14347.6909244445</v>
      </c>
      <c r="F20" s="16"/>
      <c r="G20" s="8" t="n">
        <f aca="false">E20*F20</f>
        <v>0</v>
      </c>
      <c r="H20" s="7" t="s">
        <v>108</v>
      </c>
      <c r="I20" s="15" t="s">
        <v>139</v>
      </c>
      <c r="J20" s="7" t="s">
        <v>136</v>
      </c>
    </row>
    <row r="21" customFormat="false" ht="23.85" hidden="false" customHeight="false" outlineLevel="0" collapsed="false">
      <c r="A21" s="7" t="s">
        <v>23</v>
      </c>
      <c r="B21" s="7" t="s">
        <v>170</v>
      </c>
      <c r="C21" s="15" t="s">
        <v>141</v>
      </c>
      <c r="D21" s="7" t="s">
        <v>104</v>
      </c>
      <c r="E21" s="8" t="n">
        <f aca="false">SUMIFS(Structures!$N$5:$N$55,Structures!$A$5:$A$55,"PST")</f>
        <v>646</v>
      </c>
      <c r="F21" s="16"/>
      <c r="G21" s="8" t="n">
        <f aca="false">E21*F21</f>
        <v>0</v>
      </c>
      <c r="H21" s="7" t="s">
        <v>103</v>
      </c>
      <c r="I21" s="15" t="s">
        <v>142</v>
      </c>
      <c r="J21" s="7" t="s">
        <v>143</v>
      </c>
    </row>
    <row r="22" customFormat="false" ht="15" hidden="false" customHeight="false" outlineLevel="0" collapsed="false">
      <c r="A22" s="7" t="s">
        <v>23</v>
      </c>
      <c r="B22" s="7" t="s">
        <v>171</v>
      </c>
      <c r="C22" s="15" t="s">
        <v>172</v>
      </c>
      <c r="D22" s="7" t="s">
        <v>77</v>
      </c>
      <c r="E22" s="8" t="n">
        <f aca="false">SUMIFS('Take-off'!$E$5:$E$334,'Take-off'!$A$5:$A$334,"PST",'Take-off'!$C$5:$C$334,"BLINDING")</f>
        <v>1104.27446890286</v>
      </c>
      <c r="F22" s="16"/>
      <c r="G22" s="8" t="n">
        <f aca="false">E22*F22</f>
        <v>0</v>
      </c>
      <c r="H22" s="7" t="s">
        <v>91</v>
      </c>
      <c r="I22" s="15" t="s">
        <v>146</v>
      </c>
      <c r="J22" s="7" t="s">
        <v>136</v>
      </c>
    </row>
    <row r="23" customFormat="false" ht="15" hidden="false" customHeight="false" outlineLevel="0" collapsed="false">
      <c r="A23" s="7" t="s">
        <v>23</v>
      </c>
      <c r="B23" s="7" t="s">
        <v>173</v>
      </c>
      <c r="C23" s="15" t="s">
        <v>145</v>
      </c>
      <c r="D23" s="7" t="s">
        <v>77</v>
      </c>
      <c r="E23" s="8" t="n">
        <f aca="false">SUMIFS('Take-off'!$E$5:$E$334,'Take-off'!$A$5:$A$334,"PST",'Take-off'!$C$5:$C$334,"MASS_FILL")</f>
        <v>317.31320806603</v>
      </c>
      <c r="F23" s="16"/>
      <c r="G23" s="8" t="n">
        <f aca="false">E23*F23</f>
        <v>0</v>
      </c>
      <c r="H23" s="7" t="s">
        <v>93</v>
      </c>
      <c r="I23" s="15" t="s">
        <v>146</v>
      </c>
      <c r="J23" s="7" t="s">
        <v>136</v>
      </c>
    </row>
    <row r="24" customFormat="false" ht="15" hidden="false" customHeight="false" outlineLevel="0" collapsed="false">
      <c r="A24" s="7" t="s">
        <v>23</v>
      </c>
      <c r="B24" s="7" t="s">
        <v>174</v>
      </c>
      <c r="C24" s="15" t="s">
        <v>148</v>
      </c>
      <c r="D24" s="7" t="s">
        <v>77</v>
      </c>
      <c r="E24" s="8" t="n">
        <f aca="false">SUMIFS('Take-off'!$E$5:$E$334,'Take-off'!$A$5:$A$334,"PST",'Take-off'!$C$5:$C$334,"RC_BASE")</f>
        <v>6012.3696050719</v>
      </c>
      <c r="F24" s="16"/>
      <c r="G24" s="8" t="n">
        <f aca="false">E24*F24</f>
        <v>0</v>
      </c>
      <c r="H24" s="7" t="s">
        <v>76</v>
      </c>
      <c r="I24" s="15" t="s">
        <v>146</v>
      </c>
      <c r="J24" s="7" t="s">
        <v>136</v>
      </c>
    </row>
    <row r="25" customFormat="false" ht="15" hidden="false" customHeight="false" outlineLevel="0" collapsed="false">
      <c r="A25" s="7" t="s">
        <v>23</v>
      </c>
      <c r="B25" s="7" t="s">
        <v>175</v>
      </c>
      <c r="C25" s="15" t="s">
        <v>150</v>
      </c>
      <c r="D25" s="7" t="s">
        <v>77</v>
      </c>
      <c r="E25" s="8" t="n">
        <f aca="false">SUMIFS('Take-off'!$E$5:$E$334,'Take-off'!$A$5:$A$334,"PST",'Take-off'!$C$5:$C$334,"RC_WALL")</f>
        <v>2144.73014940522</v>
      </c>
      <c r="F25" s="16"/>
      <c r="G25" s="8" t="n">
        <f aca="false">E25*F25</f>
        <v>0</v>
      </c>
      <c r="H25" s="7" t="s">
        <v>79</v>
      </c>
      <c r="I25" s="15" t="s">
        <v>146</v>
      </c>
      <c r="J25" s="7" t="s">
        <v>136</v>
      </c>
    </row>
    <row r="26" customFormat="false" ht="15" hidden="false" customHeight="false" outlineLevel="0" collapsed="false">
      <c r="A26" s="7" t="s">
        <v>23</v>
      </c>
      <c r="B26" s="7" t="s">
        <v>176</v>
      </c>
      <c r="C26" s="15" t="s">
        <v>152</v>
      </c>
      <c r="D26" s="7" t="s">
        <v>77</v>
      </c>
      <c r="E26" s="8" t="n">
        <f aca="false">SUMIFS('Take-off'!$E$5:$E$334,'Take-off'!$A$5:$A$334,"PST",'Take-off'!$C$5:$C$334,"RC_SLAB")</f>
        <v>267.21851161598</v>
      </c>
      <c r="F26" s="16"/>
      <c r="G26" s="8" t="n">
        <f aca="false">E26*F26</f>
        <v>0</v>
      </c>
      <c r="H26" s="7" t="s">
        <v>81</v>
      </c>
      <c r="I26" s="15" t="s">
        <v>146</v>
      </c>
      <c r="J26" s="7" t="s">
        <v>136</v>
      </c>
    </row>
    <row r="27" customFormat="false" ht="15" hidden="false" customHeight="false" outlineLevel="0" collapsed="false">
      <c r="A27" s="7" t="s">
        <v>23</v>
      </c>
      <c r="B27" s="7" t="s">
        <v>177</v>
      </c>
      <c r="C27" s="15" t="s">
        <v>178</v>
      </c>
      <c r="D27" s="7" t="s">
        <v>77</v>
      </c>
      <c r="E27" s="8" t="n">
        <f aca="false">SUMIFS('Take-off'!$E$5:$E$334,'Take-off'!$A$5:$A$334,"PST",'Take-off'!$C$5:$C$334,"RC_COLBEAM")</f>
        <v>47.6064544690221</v>
      </c>
      <c r="F27" s="16"/>
      <c r="G27" s="8" t="n">
        <f aca="false">E27*F27</f>
        <v>0</v>
      </c>
      <c r="H27" s="7" t="s">
        <v>83</v>
      </c>
      <c r="I27" s="15" t="s">
        <v>146</v>
      </c>
      <c r="J27" s="7" t="s">
        <v>136</v>
      </c>
    </row>
    <row r="28" customFormat="false" ht="23.85" hidden="false" customHeight="false" outlineLevel="0" collapsed="false">
      <c r="A28" s="7" t="s">
        <v>23</v>
      </c>
      <c r="B28" s="7" t="s">
        <v>179</v>
      </c>
      <c r="C28" s="15" t="s">
        <v>154</v>
      </c>
      <c r="D28" s="7" t="s">
        <v>77</v>
      </c>
      <c r="E28" s="8" t="n">
        <f aca="false">SUMIFS('Take-off'!$E$5:$E$334,'Take-off'!$A$5:$A$334,"PST",'Take-off'!$C$5:$C$334,"RC_MISC")</f>
        <v>356.305652158638</v>
      </c>
      <c r="F28" s="16"/>
      <c r="G28" s="8" t="n">
        <f aca="false">E28*F28</f>
        <v>0</v>
      </c>
      <c r="H28" s="7" t="s">
        <v>85</v>
      </c>
      <c r="I28" s="15" t="s">
        <v>146</v>
      </c>
      <c r="J28" s="7" t="s">
        <v>136</v>
      </c>
    </row>
    <row r="29" customFormat="false" ht="15" hidden="false" customHeight="false" outlineLevel="0" collapsed="false">
      <c r="A29" s="7" t="s">
        <v>23</v>
      </c>
      <c r="B29" s="7" t="s">
        <v>180</v>
      </c>
      <c r="C29" s="15" t="s">
        <v>156</v>
      </c>
      <c r="D29" s="7" t="s">
        <v>96</v>
      </c>
      <c r="E29" s="8" t="n">
        <f aca="false">SUMIFS('Take-off'!$G$5:$G$334,'Take-off'!$A$5:$A$334,"PST",'Take-off'!$C$5:$C$334,"RC_BASE")+SUMIFS('Take-off'!$G$5:$G$334,'Take-off'!$A$5:$A$334,"PST",'Take-off'!$C$5:$C$334,"RC_WALL")+SUMIFS('Take-off'!$G$5:$G$334,'Take-off'!$A$5:$A$334,"PST",'Take-off'!$C$5:$C$334,"RC_SLAB")+SUMIFS('Take-off'!$G$5:$G$334,'Take-off'!$A$5:$A$334,"PST",'Take-off'!$C$5:$C$334,"RC_COLBEAM")+SUMIFS('Take-off'!$G$5:$G$334,'Take-off'!$A$5:$A$334,"PST",'Take-off'!$C$5:$C$334,"RC_MISC")</f>
        <v>15309.269662373</v>
      </c>
      <c r="F29" s="16"/>
      <c r="G29" s="8" t="n">
        <f aca="false">E29*F29</f>
        <v>0</v>
      </c>
      <c r="H29" s="7" t="s">
        <v>95</v>
      </c>
      <c r="I29" s="15" t="s">
        <v>157</v>
      </c>
      <c r="J29" s="7" t="s">
        <v>136</v>
      </c>
    </row>
    <row r="30" customFormat="false" ht="15" hidden="false" customHeight="false" outlineLevel="0" collapsed="false">
      <c r="A30" s="7" t="s">
        <v>23</v>
      </c>
      <c r="B30" s="7" t="s">
        <v>181</v>
      </c>
      <c r="C30" s="15" t="s">
        <v>159</v>
      </c>
      <c r="D30" s="7" t="s">
        <v>99</v>
      </c>
      <c r="E30" s="17" t="n">
        <f aca="false">(SUMIFS('Take-off'!$E$5:$E$334,'Take-off'!$A$5:$A$334,"PST",'Take-off'!$C$5:$C$334,"RC_BASE")*RR_BASE+SUMIFS('Take-off'!$E$5:$E$334,'Take-off'!$A$5:$A$334,"PST",'Take-off'!$C$5:$C$334,"RC_WALL")*RR_WALL+SUMIFS('Take-off'!$E$5:$E$334,'Take-off'!$A$5:$A$334,"PST",'Take-off'!$C$5:$C$334,"RC_SLAB")*RR_SLAB+SUMIFS('Take-off'!$E$5:$E$334,'Take-off'!$A$5:$A$334,"PST",'Take-off'!$C$5:$C$334,"RC_COLBEAM")*RR_COLBEAM+SUMIFS('Take-off'!$E$5:$E$334,'Take-off'!$A$5:$A$334,"PST",'Take-off'!$C$5:$C$334,"RC_MISC")*RR_MISC)/1000</f>
        <v>1033.21307175455</v>
      </c>
      <c r="F30" s="16"/>
      <c r="G30" s="8" t="n">
        <f aca="false">E30*F30</f>
        <v>0</v>
      </c>
      <c r="H30" s="7" t="s">
        <v>98</v>
      </c>
      <c r="I30" s="15" t="s">
        <v>160</v>
      </c>
      <c r="J30" s="7" t="s">
        <v>143</v>
      </c>
    </row>
    <row r="31" customFormat="false" ht="15" hidden="false" customHeight="false" outlineLevel="0" collapsed="false">
      <c r="A31" s="7" t="s">
        <v>23</v>
      </c>
      <c r="B31" s="7" t="s">
        <v>182</v>
      </c>
      <c r="C31" s="15" t="s">
        <v>162</v>
      </c>
      <c r="D31" s="7" t="s">
        <v>113</v>
      </c>
      <c r="E31" s="8" t="n">
        <f aca="false">SUMIFS('Take-off'!$H$5:$H$334,'Take-off'!$A$5:$A$334,"PST",'Take-off'!$C$5:$C$334,"HANDRAIL")/RAILS_PER_RUN</f>
        <v>1121.59997558594</v>
      </c>
      <c r="F31" s="16"/>
      <c r="G31" s="8" t="n">
        <f aca="false">E31*F31</f>
        <v>0</v>
      </c>
      <c r="H31" s="7" t="s">
        <v>117</v>
      </c>
      <c r="I31" s="15" t="s">
        <v>163</v>
      </c>
      <c r="J31" s="7" t="s">
        <v>143</v>
      </c>
    </row>
    <row r="32" customFormat="false" ht="15" hidden="false" customHeight="false" outlineLevel="0" collapsed="false">
      <c r="A32" s="7" t="s">
        <v>23</v>
      </c>
      <c r="B32" s="7" t="s">
        <v>183</v>
      </c>
      <c r="C32" s="15" t="s">
        <v>165</v>
      </c>
      <c r="D32" s="7" t="s">
        <v>77</v>
      </c>
      <c r="E32" s="8" t="n">
        <f aca="false">SUMIFS('Take-off'!$E$5:$E$334,'Take-off'!$A$5:$A$334,"PST",'Take-off'!$C$5:$C$334,"STAIRS")</f>
        <v>64.0469499684566</v>
      </c>
      <c r="F32" s="16"/>
      <c r="G32" s="8" t="n">
        <f aca="false">E32*F32</f>
        <v>0</v>
      </c>
      <c r="H32" s="7" t="s">
        <v>166</v>
      </c>
      <c r="I32" s="15" t="s">
        <v>184</v>
      </c>
      <c r="J32" s="7" t="s">
        <v>143</v>
      </c>
    </row>
    <row r="33" customFormat="false" ht="15" hidden="false" customHeight="false" outlineLevel="0" collapsed="false">
      <c r="A33" s="13" t="s">
        <v>25</v>
      </c>
      <c r="B33" s="14"/>
      <c r="C33" s="13" t="s">
        <v>26</v>
      </c>
      <c r="D33" s="14"/>
      <c r="E33" s="14"/>
      <c r="F33" s="14"/>
      <c r="G33" s="14"/>
      <c r="H33" s="14"/>
      <c r="I33" s="14"/>
      <c r="J33" s="14"/>
    </row>
    <row r="34" customFormat="false" ht="23.85" hidden="false" customHeight="false" outlineLevel="0" collapsed="false">
      <c r="A34" s="7" t="s">
        <v>25</v>
      </c>
      <c r="B34" s="7" t="s">
        <v>185</v>
      </c>
      <c r="C34" s="15" t="s">
        <v>134</v>
      </c>
      <c r="D34" s="7" t="s">
        <v>77</v>
      </c>
      <c r="E34" s="8" t="n">
        <f aca="false">SUMIFS(Structures!$I$5:$I$55,Structures!$A$5:$A$55,"IPS")</f>
        <v>11780.0456744445</v>
      </c>
      <c r="F34" s="16"/>
      <c r="G34" s="8" t="n">
        <f aca="false">E34*F34</f>
        <v>0</v>
      </c>
      <c r="H34" s="7" t="s">
        <v>106</v>
      </c>
      <c r="I34" s="15" t="s">
        <v>135</v>
      </c>
      <c r="J34" s="7" t="s">
        <v>136</v>
      </c>
    </row>
    <row r="35" customFormat="false" ht="15" hidden="false" customHeight="false" outlineLevel="0" collapsed="false">
      <c r="A35" s="7" t="s">
        <v>25</v>
      </c>
      <c r="B35" s="7" t="s">
        <v>186</v>
      </c>
      <c r="C35" s="15" t="s">
        <v>138</v>
      </c>
      <c r="D35" s="7" t="s">
        <v>77</v>
      </c>
      <c r="E35" s="8" t="n">
        <f aca="false">SUMIFS(Structures!$J$5:$J$55,Structures!$A$5:$A$55,"IPS")</f>
        <v>5966.79567444448</v>
      </c>
      <c r="F35" s="16"/>
      <c r="G35" s="8" t="n">
        <f aca="false">E35*F35</f>
        <v>0</v>
      </c>
      <c r="H35" s="7" t="s">
        <v>108</v>
      </c>
      <c r="I35" s="15" t="s">
        <v>139</v>
      </c>
      <c r="J35" s="7" t="s">
        <v>136</v>
      </c>
    </row>
    <row r="36" customFormat="false" ht="23.85" hidden="false" customHeight="false" outlineLevel="0" collapsed="false">
      <c r="A36" s="7" t="s">
        <v>25</v>
      </c>
      <c r="B36" s="7" t="s">
        <v>187</v>
      </c>
      <c r="C36" s="15" t="s">
        <v>141</v>
      </c>
      <c r="D36" s="7" t="s">
        <v>104</v>
      </c>
      <c r="E36" s="8" t="n">
        <f aca="false">SUMIFS(Structures!$N$5:$N$55,Structures!$A$5:$A$55,"IPS")</f>
        <v>118</v>
      </c>
      <c r="F36" s="16"/>
      <c r="G36" s="8" t="n">
        <f aca="false">E36*F36</f>
        <v>0</v>
      </c>
      <c r="H36" s="7" t="s">
        <v>103</v>
      </c>
      <c r="I36" s="15" t="s">
        <v>142</v>
      </c>
      <c r="J36" s="7" t="s">
        <v>143</v>
      </c>
    </row>
    <row r="37" customFormat="false" ht="15" hidden="false" customHeight="false" outlineLevel="0" collapsed="false">
      <c r="A37" s="7" t="s">
        <v>25</v>
      </c>
      <c r="B37" s="7" t="s">
        <v>188</v>
      </c>
      <c r="C37" s="15" t="s">
        <v>148</v>
      </c>
      <c r="D37" s="7" t="s">
        <v>77</v>
      </c>
      <c r="E37" s="8" t="n">
        <f aca="false">SUMIFS('Take-off'!$E$5:$E$334,'Take-off'!$A$5:$A$334,"IPS",'Take-off'!$C$5:$C$334,"RC_BASE")</f>
        <v>776.282862311265</v>
      </c>
      <c r="F37" s="16"/>
      <c r="G37" s="8" t="n">
        <f aca="false">E37*F37</f>
        <v>0</v>
      </c>
      <c r="H37" s="7" t="s">
        <v>76</v>
      </c>
      <c r="I37" s="15" t="s">
        <v>146</v>
      </c>
      <c r="J37" s="7" t="s">
        <v>136</v>
      </c>
    </row>
    <row r="38" customFormat="false" ht="15" hidden="false" customHeight="false" outlineLevel="0" collapsed="false">
      <c r="A38" s="7" t="s">
        <v>25</v>
      </c>
      <c r="B38" s="7" t="s">
        <v>189</v>
      </c>
      <c r="C38" s="15" t="s">
        <v>150</v>
      </c>
      <c r="D38" s="7" t="s">
        <v>77</v>
      </c>
      <c r="E38" s="8" t="n">
        <f aca="false">SUMIFS('Take-off'!$E$5:$E$334,'Take-off'!$A$5:$A$334,"IPS",'Take-off'!$C$5:$C$334,"RC_WALL")</f>
        <v>1428.09894560292</v>
      </c>
      <c r="F38" s="16"/>
      <c r="G38" s="8" t="n">
        <f aca="false">E38*F38</f>
        <v>0</v>
      </c>
      <c r="H38" s="7" t="s">
        <v>79</v>
      </c>
      <c r="I38" s="15" t="s">
        <v>146</v>
      </c>
      <c r="J38" s="7" t="s">
        <v>136</v>
      </c>
    </row>
    <row r="39" customFormat="false" ht="15" hidden="false" customHeight="false" outlineLevel="0" collapsed="false">
      <c r="A39" s="7" t="s">
        <v>25</v>
      </c>
      <c r="B39" s="7" t="s">
        <v>190</v>
      </c>
      <c r="C39" s="15" t="s">
        <v>152</v>
      </c>
      <c r="D39" s="7" t="s">
        <v>77</v>
      </c>
      <c r="E39" s="8" t="n">
        <f aca="false">SUMIFS('Take-off'!$E$5:$E$334,'Take-off'!$A$5:$A$334,"IPS",'Take-off'!$C$5:$C$334,"RC_SLAB")</f>
        <v>371.40035234112</v>
      </c>
      <c r="F39" s="16"/>
      <c r="G39" s="8" t="n">
        <f aca="false">E39*F39</f>
        <v>0</v>
      </c>
      <c r="H39" s="7" t="s">
        <v>81</v>
      </c>
      <c r="I39" s="15" t="s">
        <v>146</v>
      </c>
      <c r="J39" s="7" t="s">
        <v>136</v>
      </c>
    </row>
    <row r="40" customFormat="false" ht="23.85" hidden="false" customHeight="false" outlineLevel="0" collapsed="false">
      <c r="A40" s="7" t="s">
        <v>25</v>
      </c>
      <c r="B40" s="7" t="s">
        <v>191</v>
      </c>
      <c r="C40" s="15" t="s">
        <v>154</v>
      </c>
      <c r="D40" s="7" t="s">
        <v>77</v>
      </c>
      <c r="E40" s="8" t="n">
        <f aca="false">SUMIFS('Take-off'!$E$5:$E$334,'Take-off'!$A$5:$A$334,"IPS",'Take-off'!$C$5:$C$334,"RC_MISC")</f>
        <v>223.075597320702</v>
      </c>
      <c r="F40" s="16"/>
      <c r="G40" s="8" t="n">
        <f aca="false">E40*F40</f>
        <v>0</v>
      </c>
      <c r="H40" s="7" t="s">
        <v>85</v>
      </c>
      <c r="I40" s="15" t="s">
        <v>146</v>
      </c>
      <c r="J40" s="7" t="s">
        <v>136</v>
      </c>
    </row>
    <row r="41" customFormat="false" ht="15" hidden="false" customHeight="false" outlineLevel="0" collapsed="false">
      <c r="A41" s="7" t="s">
        <v>25</v>
      </c>
      <c r="B41" s="7" t="s">
        <v>192</v>
      </c>
      <c r="C41" s="15" t="s">
        <v>156</v>
      </c>
      <c r="D41" s="7" t="s">
        <v>96</v>
      </c>
      <c r="E41" s="8" t="n">
        <f aca="false">SUMIFS('Take-off'!$G$5:$G$334,'Take-off'!$A$5:$A$334,"IPS",'Take-off'!$C$5:$C$334,"RC_BASE")+SUMIFS('Take-off'!$G$5:$G$334,'Take-off'!$A$5:$A$334,"IPS",'Take-off'!$C$5:$C$334,"RC_WALL")+SUMIFS('Take-off'!$G$5:$G$334,'Take-off'!$A$5:$A$334,"IPS",'Take-off'!$C$5:$C$334,"RC_SLAB")+SUMIFS('Take-off'!$G$5:$G$334,'Take-off'!$A$5:$A$334,"IPS",'Take-off'!$C$5:$C$334,"RC_MISC")</f>
        <v>6403.9657861999</v>
      </c>
      <c r="F41" s="16"/>
      <c r="G41" s="8" t="n">
        <f aca="false">E41*F41</f>
        <v>0</v>
      </c>
      <c r="H41" s="7" t="s">
        <v>95</v>
      </c>
      <c r="I41" s="15" t="s">
        <v>157</v>
      </c>
      <c r="J41" s="7" t="s">
        <v>136</v>
      </c>
    </row>
    <row r="42" customFormat="false" ht="15" hidden="false" customHeight="false" outlineLevel="0" collapsed="false">
      <c r="A42" s="7" t="s">
        <v>25</v>
      </c>
      <c r="B42" s="7" t="s">
        <v>193</v>
      </c>
      <c r="C42" s="15" t="s">
        <v>159</v>
      </c>
      <c r="D42" s="7" t="s">
        <v>99</v>
      </c>
      <c r="E42" s="17" t="n">
        <f aca="false">(SUMIFS('Take-off'!$E$5:$E$334,'Take-off'!$A$5:$A$334,"IPS",'Take-off'!$C$5:$C$334,"RC_BASE")*RR_BASE+SUMIFS('Take-off'!$E$5:$E$334,'Take-off'!$A$5:$A$334,"IPS",'Take-off'!$C$5:$C$334,"RC_WALL")*RR_WALL+SUMIFS('Take-off'!$E$5:$E$334,'Take-off'!$A$5:$A$334,"IPS",'Take-off'!$C$5:$C$334,"RC_SLAB")*RR_SLAB+SUMIFS('Take-off'!$E$5:$E$334,'Take-off'!$A$5:$A$334,"IPS",'Take-off'!$C$5:$C$334,"RC_MISC")*RR_MISC)/1000</f>
        <v>360.277992107751</v>
      </c>
      <c r="F42" s="16"/>
      <c r="G42" s="8" t="n">
        <f aca="false">E42*F42</f>
        <v>0</v>
      </c>
      <c r="H42" s="7" t="s">
        <v>98</v>
      </c>
      <c r="I42" s="15" t="s">
        <v>160</v>
      </c>
      <c r="J42" s="7" t="s">
        <v>143</v>
      </c>
    </row>
    <row r="43" customFormat="false" ht="15" hidden="false" customHeight="false" outlineLevel="0" collapsed="false">
      <c r="A43" s="7" t="s">
        <v>25</v>
      </c>
      <c r="B43" s="7" t="s">
        <v>194</v>
      </c>
      <c r="C43" s="15" t="s">
        <v>165</v>
      </c>
      <c r="D43" s="7" t="s">
        <v>77</v>
      </c>
      <c r="E43" s="8" t="n">
        <f aca="false">SUMIFS('Take-off'!$E$5:$E$334,'Take-off'!$A$5:$A$334,"IPS",'Take-off'!$C$5:$C$334,"STAIRS")</f>
        <v>47.0063335469458</v>
      </c>
      <c r="F43" s="16"/>
      <c r="G43" s="8" t="n">
        <f aca="false">E43*F43</f>
        <v>0</v>
      </c>
      <c r="H43" s="7" t="s">
        <v>166</v>
      </c>
      <c r="I43" s="15" t="s">
        <v>195</v>
      </c>
      <c r="J43" s="7" t="s">
        <v>143</v>
      </c>
    </row>
    <row r="44" customFormat="false" ht="15" hidden="false" customHeight="false" outlineLevel="0" collapsed="false">
      <c r="A44" s="13" t="s">
        <v>27</v>
      </c>
      <c r="B44" s="14"/>
      <c r="C44" s="13" t="s">
        <v>28</v>
      </c>
      <c r="D44" s="14"/>
      <c r="E44" s="14"/>
      <c r="F44" s="14"/>
      <c r="G44" s="14"/>
      <c r="H44" s="14"/>
      <c r="I44" s="14"/>
      <c r="J44" s="14"/>
    </row>
    <row r="45" customFormat="false" ht="23.85" hidden="false" customHeight="false" outlineLevel="0" collapsed="false">
      <c r="A45" s="7" t="s">
        <v>27</v>
      </c>
      <c r="B45" s="7" t="s">
        <v>196</v>
      </c>
      <c r="C45" s="15" t="s">
        <v>134</v>
      </c>
      <c r="D45" s="7" t="s">
        <v>77</v>
      </c>
      <c r="E45" s="8" t="n">
        <f aca="false">SUMIFS(Structures!$I$5:$I$55,Structures!$A$5:$A$55,"AER")</f>
        <v>89258.0712155281</v>
      </c>
      <c r="F45" s="16"/>
      <c r="G45" s="8" t="n">
        <f aca="false">E45*F45</f>
        <v>0</v>
      </c>
      <c r="H45" s="7" t="s">
        <v>106</v>
      </c>
      <c r="I45" s="15" t="s">
        <v>135</v>
      </c>
      <c r="J45" s="7" t="s">
        <v>197</v>
      </c>
    </row>
    <row r="46" customFormat="false" ht="15" hidden="false" customHeight="false" outlineLevel="0" collapsed="false">
      <c r="A46" s="7" t="s">
        <v>27</v>
      </c>
      <c r="B46" s="7" t="s">
        <v>198</v>
      </c>
      <c r="C46" s="15" t="s">
        <v>138</v>
      </c>
      <c r="D46" s="7" t="s">
        <v>77</v>
      </c>
      <c r="E46" s="8" t="n">
        <f aca="false">SUMIFS(Structures!$J$5:$J$55,Structures!$A$5:$A$55,"AER")</f>
        <v>5270.55121552806</v>
      </c>
      <c r="F46" s="16"/>
      <c r="G46" s="8" t="n">
        <f aca="false">E46*F46</f>
        <v>0</v>
      </c>
      <c r="H46" s="7" t="s">
        <v>108</v>
      </c>
      <c r="I46" s="15" t="s">
        <v>139</v>
      </c>
      <c r="J46" s="7" t="s">
        <v>197</v>
      </c>
    </row>
    <row r="47" customFormat="false" ht="15" hidden="false" customHeight="false" outlineLevel="0" collapsed="false">
      <c r="A47" s="7" t="s">
        <v>27</v>
      </c>
      <c r="B47" s="7" t="s">
        <v>199</v>
      </c>
      <c r="C47" s="15" t="s">
        <v>200</v>
      </c>
      <c r="D47" s="7" t="s">
        <v>104</v>
      </c>
      <c r="E47" s="8" t="n">
        <f aca="false">SUMIFS(Structures!$N$5:$N$55,Structures!$A$5:$A$55,"AER")</f>
        <v>3672</v>
      </c>
      <c r="F47" s="16"/>
      <c r="G47" s="8" t="n">
        <f aca="false">E47*F47</f>
        <v>0</v>
      </c>
      <c r="H47" s="7" t="s">
        <v>103</v>
      </c>
      <c r="I47" s="15" t="s">
        <v>201</v>
      </c>
      <c r="J47" s="7" t="s">
        <v>197</v>
      </c>
    </row>
    <row r="48" customFormat="false" ht="15" hidden="false" customHeight="false" outlineLevel="0" collapsed="false">
      <c r="A48" s="7" t="s">
        <v>27</v>
      </c>
      <c r="B48" s="7" t="s">
        <v>202</v>
      </c>
      <c r="C48" s="15" t="s">
        <v>148</v>
      </c>
      <c r="D48" s="7" t="s">
        <v>77</v>
      </c>
      <c r="E48" s="8" t="n">
        <f aca="false">SUMIFS('Take-off'!$E$5:$E$334,'Take-off'!$A$5:$A$334,"AER",'Take-off'!$C$5:$C$334,"RC_BASE")</f>
        <v>30119.8340056018</v>
      </c>
      <c r="F48" s="16"/>
      <c r="G48" s="8" t="n">
        <f aca="false">E48*F48</f>
        <v>0</v>
      </c>
      <c r="H48" s="7" t="s">
        <v>76</v>
      </c>
      <c r="I48" s="15" t="s">
        <v>146</v>
      </c>
      <c r="J48" s="7" t="s">
        <v>197</v>
      </c>
    </row>
    <row r="49" customFormat="false" ht="15" hidden="false" customHeight="false" outlineLevel="0" collapsed="false">
      <c r="A49" s="7" t="s">
        <v>27</v>
      </c>
      <c r="B49" s="7" t="s">
        <v>203</v>
      </c>
      <c r="C49" s="15" t="s">
        <v>150</v>
      </c>
      <c r="D49" s="7" t="s">
        <v>77</v>
      </c>
      <c r="E49" s="8" t="n">
        <f aca="false">SUMIFS('Take-off'!$E$5:$E$334,'Take-off'!$A$5:$A$334,"AER",'Take-off'!$C$5:$C$334,"RC_WALL")</f>
        <v>12805.6583120063</v>
      </c>
      <c r="F49" s="16"/>
      <c r="G49" s="8" t="n">
        <f aca="false">E49*F49</f>
        <v>0</v>
      </c>
      <c r="H49" s="7" t="s">
        <v>79</v>
      </c>
      <c r="I49" s="15" t="s">
        <v>146</v>
      </c>
      <c r="J49" s="7" t="s">
        <v>197</v>
      </c>
    </row>
    <row r="50" customFormat="false" ht="15" hidden="false" customHeight="false" outlineLevel="0" collapsed="false">
      <c r="A50" s="7" t="s">
        <v>27</v>
      </c>
      <c r="B50" s="7" t="s">
        <v>204</v>
      </c>
      <c r="C50" s="15" t="s">
        <v>152</v>
      </c>
      <c r="D50" s="7" t="s">
        <v>77</v>
      </c>
      <c r="E50" s="8" t="n">
        <f aca="false">SUMIFS('Take-off'!$E$5:$E$334,'Take-off'!$A$5:$A$334,"AER",'Take-off'!$C$5:$C$334,"RC_SLAB")</f>
        <v>764.281089524396</v>
      </c>
      <c r="F50" s="16"/>
      <c r="G50" s="8" t="n">
        <f aca="false">E50*F50</f>
        <v>0</v>
      </c>
      <c r="H50" s="7" t="s">
        <v>81</v>
      </c>
      <c r="I50" s="15" t="s">
        <v>146</v>
      </c>
      <c r="J50" s="7" t="s">
        <v>197</v>
      </c>
    </row>
    <row r="51" customFormat="false" ht="15" hidden="false" customHeight="false" outlineLevel="0" collapsed="false">
      <c r="A51" s="7" t="s">
        <v>27</v>
      </c>
      <c r="B51" s="7" t="s">
        <v>205</v>
      </c>
      <c r="C51" s="15" t="s">
        <v>178</v>
      </c>
      <c r="D51" s="7" t="s">
        <v>77</v>
      </c>
      <c r="E51" s="8" t="n">
        <f aca="false">SUMIFS('Take-off'!$E$5:$E$334,'Take-off'!$A$5:$A$334,"AER",'Take-off'!$C$5:$C$334,"RC_COLBEAM")</f>
        <v>209.085093529801</v>
      </c>
      <c r="F51" s="16"/>
      <c r="G51" s="8" t="n">
        <f aca="false">E51*F51</f>
        <v>0</v>
      </c>
      <c r="H51" s="7" t="s">
        <v>83</v>
      </c>
      <c r="I51" s="15" t="s">
        <v>146</v>
      </c>
      <c r="J51" s="7" t="s">
        <v>197</v>
      </c>
    </row>
    <row r="52" customFormat="false" ht="23.85" hidden="false" customHeight="false" outlineLevel="0" collapsed="false">
      <c r="A52" s="7" t="s">
        <v>27</v>
      </c>
      <c r="B52" s="7" t="s">
        <v>206</v>
      </c>
      <c r="C52" s="15" t="s">
        <v>154</v>
      </c>
      <c r="D52" s="7" t="s">
        <v>77</v>
      </c>
      <c r="E52" s="8" t="n">
        <f aca="false">SUMIFS('Take-off'!$E$5:$E$334,'Take-off'!$A$5:$A$334,"AER",'Take-off'!$C$5:$C$334,"RC_MISC")</f>
        <v>5183.786722178</v>
      </c>
      <c r="F52" s="16"/>
      <c r="G52" s="8" t="n">
        <f aca="false">E52*F52</f>
        <v>0</v>
      </c>
      <c r="H52" s="7" t="s">
        <v>85</v>
      </c>
      <c r="I52" s="15" t="s">
        <v>146</v>
      </c>
      <c r="J52" s="7" t="s">
        <v>197</v>
      </c>
    </row>
    <row r="53" customFormat="false" ht="15" hidden="false" customHeight="false" outlineLevel="0" collapsed="false">
      <c r="A53" s="7" t="s">
        <v>27</v>
      </c>
      <c r="B53" s="7" t="s">
        <v>207</v>
      </c>
      <c r="C53" s="15" t="s">
        <v>156</v>
      </c>
      <c r="D53" s="7" t="s">
        <v>96</v>
      </c>
      <c r="E53" s="8" t="n">
        <f aca="false">SUMIFS('Take-off'!$G$5:$G$334,'Take-off'!$A$5:$A$334,"AER",'Take-off'!$C$5:$C$334,"RC_BASE")+SUMIFS('Take-off'!$G$5:$G$334,'Take-off'!$A$5:$A$334,"AER",'Take-off'!$C$5:$C$334,"RC_WALL")+SUMIFS('Take-off'!$G$5:$G$334,'Take-off'!$A$5:$A$334,"AER",'Take-off'!$C$5:$C$334,"RC_SLAB")+SUMIFS('Take-off'!$G$5:$G$334,'Take-off'!$A$5:$A$334,"AER",'Take-off'!$C$5:$C$334,"RC_COLBEAM")+SUMIFS('Take-off'!$G$5:$G$334,'Take-off'!$A$5:$A$334,"AER",'Take-off'!$C$5:$C$334,"RC_MISC")</f>
        <v>64487.6723682117</v>
      </c>
      <c r="F53" s="16"/>
      <c r="G53" s="8" t="n">
        <f aca="false">E53*F53</f>
        <v>0</v>
      </c>
      <c r="H53" s="7" t="s">
        <v>95</v>
      </c>
      <c r="I53" s="15" t="s">
        <v>157</v>
      </c>
      <c r="J53" s="7" t="s">
        <v>197</v>
      </c>
    </row>
    <row r="54" customFormat="false" ht="15" hidden="false" customHeight="false" outlineLevel="0" collapsed="false">
      <c r="A54" s="7" t="s">
        <v>27</v>
      </c>
      <c r="B54" s="7" t="s">
        <v>208</v>
      </c>
      <c r="C54" s="15" t="s">
        <v>159</v>
      </c>
      <c r="D54" s="7" t="s">
        <v>99</v>
      </c>
      <c r="E54" s="17" t="n">
        <f aca="false">(SUMIFS('Take-off'!$E$5:$E$334,'Take-off'!$A$5:$A$334,"AER",'Take-off'!$C$5:$C$334,"RC_BASE")*RR_BASE+SUMIFS('Take-off'!$E$5:$E$334,'Take-off'!$A$5:$A$334,"AER",'Take-off'!$C$5:$C$334,"RC_WALL")*RR_WALL+SUMIFS('Take-off'!$E$5:$E$334,'Take-off'!$A$5:$A$334,"AER",'Take-off'!$C$5:$C$334,"RC_SLAB")*RR_SLAB+SUMIFS('Take-off'!$E$5:$E$334,'Take-off'!$A$5:$A$334,"AER",'Take-off'!$C$5:$C$334,"RC_COLBEAM")*RR_COLBEAM+SUMIFS('Take-off'!$E$5:$E$334,'Take-off'!$A$5:$A$334,"AER",'Take-off'!$C$5:$C$334,"RC_MISC")*RR_MISC)/1000</f>
        <v>5826.49853463695</v>
      </c>
      <c r="F54" s="16"/>
      <c r="G54" s="8" t="n">
        <f aca="false">E54*F54</f>
        <v>0</v>
      </c>
      <c r="H54" s="7" t="s">
        <v>98</v>
      </c>
      <c r="I54" s="15" t="s">
        <v>160</v>
      </c>
      <c r="J54" s="7" t="s">
        <v>136</v>
      </c>
    </row>
    <row r="55" customFormat="false" ht="15" hidden="false" customHeight="false" outlineLevel="0" collapsed="false">
      <c r="A55" s="7" t="s">
        <v>27</v>
      </c>
      <c r="B55" s="7" t="s">
        <v>209</v>
      </c>
      <c r="C55" s="15" t="s">
        <v>162</v>
      </c>
      <c r="D55" s="7" t="s">
        <v>113</v>
      </c>
      <c r="E55" s="8" t="n">
        <f aca="false">SUMIFS('Take-off'!$H$5:$H$334,'Take-off'!$A$5:$A$334,"AER",'Take-off'!$C$5:$C$334,"HANDRAIL")/RAILS_PER_RUN</f>
        <v>3080.10006713867</v>
      </c>
      <c r="F55" s="16"/>
      <c r="G55" s="8" t="n">
        <f aca="false">E55*F55</f>
        <v>0</v>
      </c>
      <c r="H55" s="7" t="s">
        <v>117</v>
      </c>
      <c r="I55" s="15" t="s">
        <v>163</v>
      </c>
      <c r="J55" s="7" t="s">
        <v>143</v>
      </c>
    </row>
    <row r="56" customFormat="false" ht="15" hidden="false" customHeight="false" outlineLevel="0" collapsed="false">
      <c r="A56" s="7" t="s">
        <v>27</v>
      </c>
      <c r="B56" s="7" t="s">
        <v>210</v>
      </c>
      <c r="C56" s="15" t="s">
        <v>165</v>
      </c>
      <c r="D56" s="7" t="s">
        <v>77</v>
      </c>
      <c r="E56" s="8" t="n">
        <f aca="false">SUMIFS('Take-off'!$E$5:$E$334,'Take-off'!$A$5:$A$334,"AER",'Take-off'!$C$5:$C$334,"STAIRS")</f>
        <v>8.60250452984256</v>
      </c>
      <c r="F56" s="16"/>
      <c r="G56" s="8" t="n">
        <f aca="false">E56*F56</f>
        <v>0</v>
      </c>
      <c r="H56" s="7" t="s">
        <v>166</v>
      </c>
      <c r="I56" s="15" t="s">
        <v>211</v>
      </c>
      <c r="J56" s="7" t="s">
        <v>143</v>
      </c>
    </row>
    <row r="57" customFormat="false" ht="15" hidden="false" customHeight="false" outlineLevel="0" collapsed="false">
      <c r="A57" s="13" t="s">
        <v>29</v>
      </c>
      <c r="B57" s="14"/>
      <c r="C57" s="13" t="s">
        <v>30</v>
      </c>
      <c r="D57" s="14"/>
      <c r="E57" s="14"/>
      <c r="F57" s="14"/>
      <c r="G57" s="14"/>
      <c r="H57" s="14"/>
      <c r="I57" s="14"/>
      <c r="J57" s="14"/>
    </row>
    <row r="58" customFormat="false" ht="23.85" hidden="false" customHeight="false" outlineLevel="0" collapsed="false">
      <c r="A58" s="7" t="s">
        <v>29</v>
      </c>
      <c r="B58" s="7" t="s">
        <v>212</v>
      </c>
      <c r="C58" s="15" t="s">
        <v>134</v>
      </c>
      <c r="D58" s="7" t="s">
        <v>77</v>
      </c>
      <c r="E58" s="8" t="n">
        <f aca="false">SUMIFS(Structures!$I$5:$I$55,Structures!$A$5:$A$55,"SDC")</f>
        <v>5222.75099715483</v>
      </c>
      <c r="F58" s="16"/>
      <c r="G58" s="8" t="n">
        <f aca="false">E58*F58</f>
        <v>0</v>
      </c>
      <c r="H58" s="7" t="s">
        <v>106</v>
      </c>
      <c r="I58" s="15" t="s">
        <v>135</v>
      </c>
      <c r="J58" s="7" t="s">
        <v>136</v>
      </c>
    </row>
    <row r="59" customFormat="false" ht="15" hidden="false" customHeight="false" outlineLevel="0" collapsed="false">
      <c r="A59" s="7" t="s">
        <v>29</v>
      </c>
      <c r="B59" s="7" t="s">
        <v>213</v>
      </c>
      <c r="C59" s="15" t="s">
        <v>138</v>
      </c>
      <c r="D59" s="7" t="s">
        <v>77</v>
      </c>
      <c r="E59" s="8" t="n">
        <f aca="false">SUMIFS(Structures!$J$5:$J$55,Structures!$A$5:$A$55,"SDC")</f>
        <v>3770.75099715483</v>
      </c>
      <c r="F59" s="16"/>
      <c r="G59" s="8" t="n">
        <f aca="false">E59*F59</f>
        <v>0</v>
      </c>
      <c r="H59" s="7" t="s">
        <v>108</v>
      </c>
      <c r="I59" s="15" t="s">
        <v>139</v>
      </c>
      <c r="J59" s="7" t="s">
        <v>136</v>
      </c>
    </row>
    <row r="60" customFormat="false" ht="23.85" hidden="false" customHeight="false" outlineLevel="0" collapsed="false">
      <c r="A60" s="7" t="s">
        <v>29</v>
      </c>
      <c r="B60" s="7" t="s">
        <v>214</v>
      </c>
      <c r="C60" s="15" t="s">
        <v>141</v>
      </c>
      <c r="D60" s="7" t="s">
        <v>104</v>
      </c>
      <c r="E60" s="8" t="n">
        <f aca="false">SUMIFS(Structures!$N$5:$N$55,Structures!$A$5:$A$55,"SDC")</f>
        <v>69</v>
      </c>
      <c r="F60" s="16"/>
      <c r="G60" s="8" t="n">
        <f aca="false">E60*F60</f>
        <v>0</v>
      </c>
      <c r="H60" s="7" t="s">
        <v>103</v>
      </c>
      <c r="I60" s="15" t="s">
        <v>142</v>
      </c>
      <c r="J60" s="7" t="s">
        <v>143</v>
      </c>
    </row>
    <row r="61" customFormat="false" ht="15" hidden="false" customHeight="false" outlineLevel="0" collapsed="false">
      <c r="A61" s="7" t="s">
        <v>29</v>
      </c>
      <c r="B61" s="7" t="s">
        <v>215</v>
      </c>
      <c r="C61" s="15" t="s">
        <v>172</v>
      </c>
      <c r="D61" s="7" t="s">
        <v>77</v>
      </c>
      <c r="E61" s="8" t="n">
        <f aca="false">SUMIFS('Take-off'!$E$5:$E$334,'Take-off'!$A$5:$A$334,"SDC",'Take-off'!$C$5:$C$334,"BLINDING")</f>
        <v>222.276219914604</v>
      </c>
      <c r="F61" s="16"/>
      <c r="G61" s="8" t="n">
        <f aca="false">E61*F61</f>
        <v>0</v>
      </c>
      <c r="H61" s="7" t="s">
        <v>91</v>
      </c>
      <c r="I61" s="15" t="s">
        <v>146</v>
      </c>
      <c r="J61" s="7" t="s">
        <v>136</v>
      </c>
    </row>
    <row r="62" customFormat="false" ht="15" hidden="false" customHeight="false" outlineLevel="0" collapsed="false">
      <c r="A62" s="7" t="s">
        <v>29</v>
      </c>
      <c r="B62" s="7" t="s">
        <v>216</v>
      </c>
      <c r="C62" s="15" t="s">
        <v>148</v>
      </c>
      <c r="D62" s="7" t="s">
        <v>77</v>
      </c>
      <c r="E62" s="8" t="n">
        <f aca="false">SUMIFS('Take-off'!$E$5:$E$334,'Take-off'!$A$5:$A$334,"SDC",'Take-off'!$C$5:$C$334,"RC_BASE")</f>
        <v>414.069504115439</v>
      </c>
      <c r="F62" s="16"/>
      <c r="G62" s="8" t="n">
        <f aca="false">E62*F62</f>
        <v>0</v>
      </c>
      <c r="H62" s="7" t="s">
        <v>76</v>
      </c>
      <c r="I62" s="15" t="s">
        <v>146</v>
      </c>
      <c r="J62" s="7" t="s">
        <v>136</v>
      </c>
    </row>
    <row r="63" customFormat="false" ht="15" hidden="false" customHeight="false" outlineLevel="0" collapsed="false">
      <c r="A63" s="7" t="s">
        <v>29</v>
      </c>
      <c r="B63" s="7" t="s">
        <v>217</v>
      </c>
      <c r="C63" s="15" t="s">
        <v>150</v>
      </c>
      <c r="D63" s="7" t="s">
        <v>77</v>
      </c>
      <c r="E63" s="8" t="n">
        <f aca="false">SUMIFS('Take-off'!$E$5:$E$334,'Take-off'!$A$5:$A$334,"SDC",'Take-off'!$C$5:$C$334,"RC_WALL")</f>
        <v>351.828290923178</v>
      </c>
      <c r="F63" s="16"/>
      <c r="G63" s="8" t="n">
        <f aca="false">E63*F63</f>
        <v>0</v>
      </c>
      <c r="H63" s="7" t="s">
        <v>79</v>
      </c>
      <c r="I63" s="15" t="s">
        <v>146</v>
      </c>
      <c r="J63" s="7" t="s">
        <v>136</v>
      </c>
    </row>
    <row r="64" customFormat="false" ht="15" hidden="false" customHeight="false" outlineLevel="0" collapsed="false">
      <c r="A64" s="7" t="s">
        <v>29</v>
      </c>
      <c r="B64" s="7" t="s">
        <v>218</v>
      </c>
      <c r="C64" s="15" t="s">
        <v>152</v>
      </c>
      <c r="D64" s="7" t="s">
        <v>77</v>
      </c>
      <c r="E64" s="8" t="n">
        <f aca="false">SUMIFS('Take-off'!$E$5:$E$334,'Take-off'!$A$5:$A$334,"SDC",'Take-off'!$C$5:$C$334,"RC_SLAB")</f>
        <v>64.7488677509115</v>
      </c>
      <c r="F64" s="16"/>
      <c r="G64" s="8" t="n">
        <f aca="false">E64*F64</f>
        <v>0</v>
      </c>
      <c r="H64" s="7" t="s">
        <v>81</v>
      </c>
      <c r="I64" s="15" t="s">
        <v>146</v>
      </c>
      <c r="J64" s="7" t="s">
        <v>136</v>
      </c>
    </row>
    <row r="65" customFormat="false" ht="23.85" hidden="false" customHeight="false" outlineLevel="0" collapsed="false">
      <c r="A65" s="7" t="s">
        <v>29</v>
      </c>
      <c r="B65" s="7" t="s">
        <v>219</v>
      </c>
      <c r="C65" s="15" t="s">
        <v>154</v>
      </c>
      <c r="D65" s="7" t="s">
        <v>77</v>
      </c>
      <c r="E65" s="8" t="n">
        <f aca="false">SUMIFS('Take-off'!$E$5:$E$334,'Take-off'!$A$5:$A$334,"SDC",'Take-off'!$C$5:$C$334,"RC_MISC")</f>
        <v>374.27102208369</v>
      </c>
      <c r="F65" s="16"/>
      <c r="G65" s="8" t="n">
        <f aca="false">E65*F65</f>
        <v>0</v>
      </c>
      <c r="H65" s="7" t="s">
        <v>85</v>
      </c>
      <c r="I65" s="15" t="s">
        <v>146</v>
      </c>
      <c r="J65" s="7" t="s">
        <v>136</v>
      </c>
    </row>
    <row r="66" customFormat="false" ht="15" hidden="false" customHeight="false" outlineLevel="0" collapsed="false">
      <c r="A66" s="7" t="s">
        <v>29</v>
      </c>
      <c r="B66" s="7" t="s">
        <v>220</v>
      </c>
      <c r="C66" s="15" t="s">
        <v>156</v>
      </c>
      <c r="D66" s="7" t="s">
        <v>96</v>
      </c>
      <c r="E66" s="8" t="n">
        <f aca="false">SUMIFS('Take-off'!$G$5:$G$334,'Take-off'!$A$5:$A$334,"SDC",'Take-off'!$C$5:$C$334,"RC_BASE")+SUMIFS('Take-off'!$G$5:$G$334,'Take-off'!$A$5:$A$334,"SDC",'Take-off'!$C$5:$C$334,"RC_WALL")+SUMIFS('Take-off'!$G$5:$G$334,'Take-off'!$A$5:$A$334,"SDC",'Take-off'!$C$5:$C$334,"RC_SLAB")+SUMIFS('Take-off'!$G$5:$G$334,'Take-off'!$A$5:$A$334,"SDC",'Take-off'!$C$5:$C$334,"RC_MISC")</f>
        <v>4308.48568013251</v>
      </c>
      <c r="F66" s="16"/>
      <c r="G66" s="8" t="n">
        <f aca="false">E66*F66</f>
        <v>0</v>
      </c>
      <c r="H66" s="7" t="s">
        <v>95</v>
      </c>
      <c r="I66" s="15" t="s">
        <v>157</v>
      </c>
      <c r="J66" s="7" t="s">
        <v>136</v>
      </c>
    </row>
    <row r="67" customFormat="false" ht="15" hidden="false" customHeight="false" outlineLevel="0" collapsed="false">
      <c r="A67" s="7" t="s">
        <v>29</v>
      </c>
      <c r="B67" s="7" t="s">
        <v>221</v>
      </c>
      <c r="C67" s="15" t="s">
        <v>159</v>
      </c>
      <c r="D67" s="7" t="s">
        <v>99</v>
      </c>
      <c r="E67" s="17" t="n">
        <f aca="false">(SUMIFS('Take-off'!$E$5:$E$334,'Take-off'!$A$5:$A$334,"SDC",'Take-off'!$C$5:$C$334,"RC_BASE")*RR_BASE+SUMIFS('Take-off'!$E$5:$E$334,'Take-off'!$A$5:$A$334,"SDC",'Take-off'!$C$5:$C$334,"RC_WALL")*RR_WALL+SUMIFS('Take-off'!$E$5:$E$334,'Take-off'!$A$5:$A$334,"SDC",'Take-off'!$C$5:$C$334,"RC_SLAB")*RR_SLAB+SUMIFS('Take-off'!$E$5:$E$334,'Take-off'!$A$5:$A$334,"SDC",'Take-off'!$C$5:$C$334,"RC_MISC")*RR_MISC)/1000</f>
        <v>150.633983348095</v>
      </c>
      <c r="F67" s="16"/>
      <c r="G67" s="8" t="n">
        <f aca="false">E67*F67</f>
        <v>0</v>
      </c>
      <c r="H67" s="7" t="s">
        <v>98</v>
      </c>
      <c r="I67" s="15" t="s">
        <v>160</v>
      </c>
      <c r="J67" s="7" t="s">
        <v>143</v>
      </c>
    </row>
    <row r="68" customFormat="false" ht="15" hidden="false" customHeight="false" outlineLevel="0" collapsed="false">
      <c r="A68" s="7" t="s">
        <v>29</v>
      </c>
      <c r="B68" s="7" t="s">
        <v>222</v>
      </c>
      <c r="C68" s="15" t="s">
        <v>162</v>
      </c>
      <c r="D68" s="7" t="s">
        <v>113</v>
      </c>
      <c r="E68" s="8" t="n">
        <f aca="false">SUMIFS('Take-off'!$H$5:$H$334,'Take-off'!$A$5:$A$334,"SDC",'Take-off'!$C$5:$C$334,"HANDRAIL")/RAILS_PER_RUN</f>
        <v>255.887692451477</v>
      </c>
      <c r="F68" s="16"/>
      <c r="G68" s="8" t="n">
        <f aca="false">E68*F68</f>
        <v>0</v>
      </c>
      <c r="H68" s="7" t="s">
        <v>117</v>
      </c>
      <c r="I68" s="15" t="s">
        <v>163</v>
      </c>
      <c r="J68" s="7" t="s">
        <v>143</v>
      </c>
    </row>
    <row r="69" customFormat="false" ht="15" hidden="false" customHeight="false" outlineLevel="0" collapsed="false">
      <c r="A69" s="7" t="s">
        <v>29</v>
      </c>
      <c r="B69" s="7" t="s">
        <v>223</v>
      </c>
      <c r="C69" s="15" t="s">
        <v>165</v>
      </c>
      <c r="D69" s="7" t="s">
        <v>77</v>
      </c>
      <c r="E69" s="8" t="n">
        <f aca="false">SUMIFS('Take-off'!$E$5:$E$334,'Take-off'!$A$5:$A$334,"SDC",'Take-off'!$C$5:$C$334,"STAIRS")</f>
        <v>10.6617396573879</v>
      </c>
      <c r="F69" s="16"/>
      <c r="G69" s="8" t="n">
        <f aca="false">E69*F69</f>
        <v>0</v>
      </c>
      <c r="H69" s="7" t="s">
        <v>166</v>
      </c>
      <c r="I69" s="15" t="s">
        <v>224</v>
      </c>
      <c r="J69" s="7" t="s">
        <v>143</v>
      </c>
    </row>
    <row r="70" customFormat="false" ht="15" hidden="false" customHeight="false" outlineLevel="0" collapsed="false">
      <c r="A70" s="13" t="s">
        <v>31</v>
      </c>
      <c r="B70" s="14"/>
      <c r="C70" s="13" t="s">
        <v>32</v>
      </c>
      <c r="D70" s="14"/>
      <c r="E70" s="14"/>
      <c r="F70" s="14"/>
      <c r="G70" s="14"/>
      <c r="H70" s="14"/>
      <c r="I70" s="14"/>
      <c r="J70" s="14"/>
    </row>
    <row r="71" customFormat="false" ht="23.85" hidden="false" customHeight="false" outlineLevel="0" collapsed="false">
      <c r="A71" s="7" t="s">
        <v>31</v>
      </c>
      <c r="B71" s="7" t="s">
        <v>225</v>
      </c>
      <c r="C71" s="15" t="s">
        <v>134</v>
      </c>
      <c r="D71" s="7" t="s">
        <v>77</v>
      </c>
      <c r="E71" s="8" t="n">
        <f aca="false">SUMIFS(Structures!$I$5:$I$55,Structures!$A$5:$A$55,"FST")</f>
        <v>150229.828636315</v>
      </c>
      <c r="F71" s="16"/>
      <c r="G71" s="8" t="n">
        <f aca="false">E71*F71</f>
        <v>0</v>
      </c>
      <c r="H71" s="7" t="s">
        <v>106</v>
      </c>
      <c r="I71" s="15" t="s">
        <v>135</v>
      </c>
      <c r="J71" s="7" t="s">
        <v>197</v>
      </c>
    </row>
    <row r="72" customFormat="false" ht="15" hidden="false" customHeight="false" outlineLevel="0" collapsed="false">
      <c r="A72" s="7" t="s">
        <v>31</v>
      </c>
      <c r="B72" s="7" t="s">
        <v>226</v>
      </c>
      <c r="C72" s="15" t="s">
        <v>138</v>
      </c>
      <c r="D72" s="7" t="s">
        <v>77</v>
      </c>
      <c r="E72" s="8" t="n">
        <f aca="false">SUMIFS(Structures!$J$5:$J$55,Structures!$A$5:$A$55,"FST")</f>
        <v>33936.5286363148</v>
      </c>
      <c r="F72" s="16"/>
      <c r="G72" s="8" t="n">
        <f aca="false">E72*F72</f>
        <v>0</v>
      </c>
      <c r="H72" s="7" t="s">
        <v>108</v>
      </c>
      <c r="I72" s="15" t="s">
        <v>139</v>
      </c>
      <c r="J72" s="7" t="s">
        <v>197</v>
      </c>
    </row>
    <row r="73" customFormat="false" ht="15" hidden="false" customHeight="false" outlineLevel="0" collapsed="false">
      <c r="A73" s="7" t="s">
        <v>31</v>
      </c>
      <c r="B73" s="7" t="s">
        <v>227</v>
      </c>
      <c r="C73" s="15" t="s">
        <v>200</v>
      </c>
      <c r="D73" s="7" t="s">
        <v>104</v>
      </c>
      <c r="E73" s="8" t="n">
        <f aca="false">SUMIFS(Structures!$N$5:$N$55,Structures!$A$5:$A$55,"FST")</f>
        <v>2556</v>
      </c>
      <c r="F73" s="16"/>
      <c r="G73" s="8" t="n">
        <f aca="false">E73*F73</f>
        <v>0</v>
      </c>
      <c r="H73" s="7" t="s">
        <v>103</v>
      </c>
      <c r="I73" s="15" t="s">
        <v>228</v>
      </c>
      <c r="J73" s="7" t="s">
        <v>197</v>
      </c>
    </row>
    <row r="74" customFormat="false" ht="15" hidden="false" customHeight="false" outlineLevel="0" collapsed="false">
      <c r="A74" s="7" t="s">
        <v>31</v>
      </c>
      <c r="B74" s="7" t="s">
        <v>229</v>
      </c>
      <c r="C74" s="15" t="s">
        <v>172</v>
      </c>
      <c r="D74" s="7" t="s">
        <v>77</v>
      </c>
      <c r="E74" s="8" t="n">
        <f aca="false">SUMIFS('Take-off'!$E$5:$E$334,'Take-off'!$A$5:$A$334,"FST",'Take-off'!$C$5:$C$334,"BLINDING")</f>
        <v>3233.50908897521</v>
      </c>
      <c r="F74" s="16"/>
      <c r="G74" s="8" t="n">
        <f aca="false">E74*F74</f>
        <v>0</v>
      </c>
      <c r="H74" s="7" t="s">
        <v>91</v>
      </c>
      <c r="I74" s="15" t="s">
        <v>146</v>
      </c>
      <c r="J74" s="7" t="s">
        <v>197</v>
      </c>
    </row>
    <row r="75" customFormat="false" ht="15" hidden="false" customHeight="false" outlineLevel="0" collapsed="false">
      <c r="A75" s="7" t="s">
        <v>31</v>
      </c>
      <c r="B75" s="7" t="s">
        <v>230</v>
      </c>
      <c r="C75" s="15" t="s">
        <v>148</v>
      </c>
      <c r="D75" s="7" t="s">
        <v>77</v>
      </c>
      <c r="E75" s="8" t="n">
        <f aca="false">SUMIFS('Take-off'!$E$5:$E$334,'Take-off'!$A$5:$A$334,"FST",'Take-off'!$C$5:$C$334,"RC_BASE")</f>
        <v>22338.2021588041</v>
      </c>
      <c r="F75" s="16"/>
      <c r="G75" s="8" t="n">
        <f aca="false">E75*F75</f>
        <v>0</v>
      </c>
      <c r="H75" s="7" t="s">
        <v>76</v>
      </c>
      <c r="I75" s="15" t="s">
        <v>146</v>
      </c>
      <c r="J75" s="7" t="s">
        <v>197</v>
      </c>
    </row>
    <row r="76" customFormat="false" ht="15" hidden="false" customHeight="false" outlineLevel="0" collapsed="false">
      <c r="A76" s="7" t="s">
        <v>31</v>
      </c>
      <c r="B76" s="7" t="s">
        <v>231</v>
      </c>
      <c r="C76" s="15" t="s">
        <v>150</v>
      </c>
      <c r="D76" s="7" t="s">
        <v>77</v>
      </c>
      <c r="E76" s="8" t="n">
        <f aca="false">SUMIFS('Take-off'!$E$5:$E$334,'Take-off'!$A$5:$A$334,"FST",'Take-off'!$C$5:$C$334,"RC_WALL")</f>
        <v>8105.8006381326</v>
      </c>
      <c r="F76" s="16"/>
      <c r="G76" s="8" t="n">
        <f aca="false">E76*F76</f>
        <v>0</v>
      </c>
      <c r="H76" s="7" t="s">
        <v>79</v>
      </c>
      <c r="I76" s="15" t="s">
        <v>146</v>
      </c>
      <c r="J76" s="7" t="s">
        <v>197</v>
      </c>
    </row>
    <row r="77" customFormat="false" ht="15" hidden="false" customHeight="false" outlineLevel="0" collapsed="false">
      <c r="A77" s="7" t="s">
        <v>31</v>
      </c>
      <c r="B77" s="7" t="s">
        <v>232</v>
      </c>
      <c r="C77" s="15" t="s">
        <v>152</v>
      </c>
      <c r="D77" s="7" t="s">
        <v>77</v>
      </c>
      <c r="E77" s="8" t="n">
        <f aca="false">SUMIFS('Take-off'!$E$5:$E$334,'Take-off'!$A$5:$A$334,"FST",'Take-off'!$C$5:$C$334,"RC_SLAB")</f>
        <v>1060.19372850509</v>
      </c>
      <c r="F77" s="16"/>
      <c r="G77" s="8" t="n">
        <f aca="false">E77*F77</f>
        <v>0</v>
      </c>
      <c r="H77" s="7" t="s">
        <v>81</v>
      </c>
      <c r="I77" s="15" t="s">
        <v>146</v>
      </c>
      <c r="J77" s="7" t="s">
        <v>197</v>
      </c>
    </row>
    <row r="78" customFormat="false" ht="15" hidden="false" customHeight="false" outlineLevel="0" collapsed="false">
      <c r="A78" s="7" t="s">
        <v>31</v>
      </c>
      <c r="B78" s="7" t="s">
        <v>233</v>
      </c>
      <c r="C78" s="15" t="s">
        <v>178</v>
      </c>
      <c r="D78" s="7" t="s">
        <v>77</v>
      </c>
      <c r="E78" s="8" t="n">
        <f aca="false">SUMIFS('Take-off'!$E$5:$E$334,'Take-off'!$A$5:$A$334,"FST",'Take-off'!$C$5:$C$334,"RC_COLBEAM")</f>
        <v>38.8968725901824</v>
      </c>
      <c r="F78" s="16"/>
      <c r="G78" s="8" t="n">
        <f aca="false">E78*F78</f>
        <v>0</v>
      </c>
      <c r="H78" s="7" t="s">
        <v>83</v>
      </c>
      <c r="I78" s="15" t="s">
        <v>146</v>
      </c>
      <c r="J78" s="7" t="s">
        <v>197</v>
      </c>
    </row>
    <row r="79" customFormat="false" ht="23.85" hidden="false" customHeight="false" outlineLevel="0" collapsed="false">
      <c r="A79" s="7" t="s">
        <v>31</v>
      </c>
      <c r="B79" s="7" t="s">
        <v>234</v>
      </c>
      <c r="C79" s="15" t="s">
        <v>154</v>
      </c>
      <c r="D79" s="7" t="s">
        <v>77</v>
      </c>
      <c r="E79" s="8" t="n">
        <f aca="false">SUMIFS('Take-off'!$E$5:$E$334,'Take-off'!$A$5:$A$334,"FST",'Take-off'!$C$5:$C$334,"RC_MISC")</f>
        <v>1098.40539861731</v>
      </c>
      <c r="F79" s="16"/>
      <c r="G79" s="8" t="n">
        <f aca="false">E79*F79</f>
        <v>0</v>
      </c>
      <c r="H79" s="7" t="s">
        <v>85</v>
      </c>
      <c r="I79" s="15" t="s">
        <v>146</v>
      </c>
      <c r="J79" s="7" t="s">
        <v>197</v>
      </c>
    </row>
    <row r="80" customFormat="false" ht="15" hidden="false" customHeight="false" outlineLevel="0" collapsed="false">
      <c r="A80" s="7" t="s">
        <v>31</v>
      </c>
      <c r="B80" s="7" t="s">
        <v>235</v>
      </c>
      <c r="C80" s="15" t="s">
        <v>156</v>
      </c>
      <c r="D80" s="7" t="s">
        <v>96</v>
      </c>
      <c r="E80" s="8" t="n">
        <f aca="false">SUMIFS('Take-off'!$G$5:$G$334,'Take-off'!$A$5:$A$334,"FST",'Take-off'!$C$5:$C$334,"RC_BASE")+SUMIFS('Take-off'!$G$5:$G$334,'Take-off'!$A$5:$A$334,"FST",'Take-off'!$C$5:$C$334,"RC_WALL")+SUMIFS('Take-off'!$G$5:$G$334,'Take-off'!$A$5:$A$334,"FST",'Take-off'!$C$5:$C$334,"RC_SLAB")+SUMIFS('Take-off'!$G$5:$G$334,'Take-off'!$A$5:$A$334,"FST",'Take-off'!$C$5:$C$334,"RC_COLBEAM")+SUMIFS('Take-off'!$G$5:$G$334,'Take-off'!$A$5:$A$334,"FST",'Take-off'!$C$5:$C$334,"RC_MISC")</f>
        <v>42490.4087055383</v>
      </c>
      <c r="F80" s="16"/>
      <c r="G80" s="8" t="n">
        <f aca="false">E80*F80</f>
        <v>0</v>
      </c>
      <c r="H80" s="7" t="s">
        <v>95</v>
      </c>
      <c r="I80" s="15" t="s">
        <v>157</v>
      </c>
      <c r="J80" s="7" t="s">
        <v>197</v>
      </c>
    </row>
    <row r="81" customFormat="false" ht="15" hidden="false" customHeight="false" outlineLevel="0" collapsed="false">
      <c r="A81" s="7" t="s">
        <v>31</v>
      </c>
      <c r="B81" s="7" t="s">
        <v>236</v>
      </c>
      <c r="C81" s="15" t="s">
        <v>159</v>
      </c>
      <c r="D81" s="7" t="s">
        <v>99</v>
      </c>
      <c r="E81" s="17" t="n">
        <f aca="false">(SUMIFS('Take-off'!$E$5:$E$334,'Take-off'!$A$5:$A$334,"FST",'Take-off'!$C$5:$C$334,"RC_BASE")*RR_BASE+SUMIFS('Take-off'!$E$5:$E$334,'Take-off'!$A$5:$A$334,"FST",'Take-off'!$C$5:$C$334,"RC_WALL")*RR_WALL+SUMIFS('Take-off'!$E$5:$E$334,'Take-off'!$A$5:$A$334,"FST",'Take-off'!$C$5:$C$334,"RC_SLAB")*RR_SLAB+SUMIFS('Take-off'!$E$5:$E$334,'Take-off'!$A$5:$A$334,"FST",'Take-off'!$C$5:$C$334,"RC_COLBEAM")*RR_COLBEAM+SUMIFS('Take-off'!$E$5:$E$334,'Take-off'!$A$5:$A$334,"FST",'Take-off'!$C$5:$C$334,"RC_MISC")*RR_MISC)/1000</f>
        <v>3812.61904392275</v>
      </c>
      <c r="F81" s="16"/>
      <c r="G81" s="8" t="n">
        <f aca="false">E81*F81</f>
        <v>0</v>
      </c>
      <c r="H81" s="7" t="s">
        <v>98</v>
      </c>
      <c r="I81" s="15" t="s">
        <v>160</v>
      </c>
      <c r="J81" s="7" t="s">
        <v>136</v>
      </c>
    </row>
    <row r="82" customFormat="false" ht="15" hidden="false" customHeight="false" outlineLevel="0" collapsed="false">
      <c r="A82" s="7" t="s">
        <v>31</v>
      </c>
      <c r="B82" s="7" t="s">
        <v>237</v>
      </c>
      <c r="C82" s="15" t="s">
        <v>165</v>
      </c>
      <c r="D82" s="7" t="s">
        <v>77</v>
      </c>
      <c r="E82" s="8" t="n">
        <f aca="false">SUMIFS('Take-off'!$E$5:$E$334,'Take-off'!$A$5:$A$334,"FST",'Take-off'!$C$5:$C$334,"STAIRS")</f>
        <v>49.8996757200788</v>
      </c>
      <c r="F82" s="16"/>
      <c r="G82" s="8" t="n">
        <f aca="false">E82*F82</f>
        <v>0</v>
      </c>
      <c r="H82" s="7" t="s">
        <v>166</v>
      </c>
      <c r="I82" s="15" t="s">
        <v>238</v>
      </c>
      <c r="J82" s="7" t="s">
        <v>143</v>
      </c>
    </row>
    <row r="83" customFormat="false" ht="15" hidden="false" customHeight="false" outlineLevel="0" collapsed="false">
      <c r="A83" s="13" t="s">
        <v>33</v>
      </c>
      <c r="B83" s="14"/>
      <c r="C83" s="13" t="s">
        <v>34</v>
      </c>
      <c r="D83" s="14"/>
      <c r="E83" s="14"/>
      <c r="F83" s="14"/>
      <c r="G83" s="14"/>
      <c r="H83" s="14"/>
      <c r="I83" s="14"/>
      <c r="J83" s="14"/>
    </row>
    <row r="84" customFormat="false" ht="23.85" hidden="false" customHeight="false" outlineLevel="0" collapsed="false">
      <c r="A84" s="7" t="s">
        <v>33</v>
      </c>
      <c r="B84" s="7" t="s">
        <v>239</v>
      </c>
      <c r="C84" s="15" t="s">
        <v>134</v>
      </c>
      <c r="D84" s="7" t="s">
        <v>77</v>
      </c>
      <c r="E84" s="8" t="n">
        <f aca="false">SUMIFS(Structures!$I$5:$I$55,Structures!$A$5:$A$55,"RAS")</f>
        <v>6607.75582484711</v>
      </c>
      <c r="F84" s="16"/>
      <c r="G84" s="8" t="n">
        <f aca="false">E84*F84</f>
        <v>0</v>
      </c>
      <c r="H84" s="7" t="s">
        <v>106</v>
      </c>
      <c r="I84" s="15" t="s">
        <v>135</v>
      </c>
      <c r="J84" s="7" t="s">
        <v>136</v>
      </c>
    </row>
    <row r="85" customFormat="false" ht="15" hidden="false" customHeight="false" outlineLevel="0" collapsed="false">
      <c r="A85" s="7" t="s">
        <v>33</v>
      </c>
      <c r="B85" s="7" t="s">
        <v>240</v>
      </c>
      <c r="C85" s="15" t="s">
        <v>138</v>
      </c>
      <c r="D85" s="7" t="s">
        <v>77</v>
      </c>
      <c r="E85" s="8" t="n">
        <f aca="false">SUMIFS(Structures!$J$5:$J$55,Structures!$A$5:$A$55,"RAS")</f>
        <v>5254.02582484711</v>
      </c>
      <c r="F85" s="16"/>
      <c r="G85" s="8" t="n">
        <f aca="false">E85*F85</f>
        <v>0</v>
      </c>
      <c r="H85" s="7" t="s">
        <v>108</v>
      </c>
      <c r="I85" s="15" t="s">
        <v>139</v>
      </c>
      <c r="J85" s="7" t="s">
        <v>136</v>
      </c>
    </row>
    <row r="86" customFormat="false" ht="23.85" hidden="false" customHeight="false" outlineLevel="0" collapsed="false">
      <c r="A86" s="7" t="s">
        <v>33</v>
      </c>
      <c r="B86" s="7" t="s">
        <v>241</v>
      </c>
      <c r="C86" s="15" t="s">
        <v>141</v>
      </c>
      <c r="D86" s="7" t="s">
        <v>104</v>
      </c>
      <c r="E86" s="8" t="n">
        <f aca="false">SUMIFS(Structures!$N$5:$N$55,Structures!$A$5:$A$55,"RAS")</f>
        <v>53</v>
      </c>
      <c r="F86" s="16"/>
      <c r="G86" s="8" t="n">
        <f aca="false">E86*F86</f>
        <v>0</v>
      </c>
      <c r="H86" s="7" t="s">
        <v>103</v>
      </c>
      <c r="I86" s="15" t="s">
        <v>142</v>
      </c>
      <c r="J86" s="7" t="s">
        <v>143</v>
      </c>
    </row>
    <row r="87" customFormat="false" ht="15" hidden="false" customHeight="false" outlineLevel="0" collapsed="false">
      <c r="A87" s="7" t="s">
        <v>33</v>
      </c>
      <c r="B87" s="7" t="s">
        <v>242</v>
      </c>
      <c r="C87" s="15" t="s">
        <v>148</v>
      </c>
      <c r="D87" s="7" t="s">
        <v>77</v>
      </c>
      <c r="E87" s="8" t="n">
        <f aca="false">SUMIFS('Take-off'!$E$5:$E$334,'Take-off'!$A$5:$A$334,"RAS",'Take-off'!$C$5:$C$334,"RC_BASE")</f>
        <v>404.650502611478</v>
      </c>
      <c r="F87" s="16"/>
      <c r="G87" s="8" t="n">
        <f aca="false">E87*F87</f>
        <v>0</v>
      </c>
      <c r="H87" s="7" t="s">
        <v>76</v>
      </c>
      <c r="I87" s="15" t="s">
        <v>146</v>
      </c>
      <c r="J87" s="7" t="s">
        <v>136</v>
      </c>
    </row>
    <row r="88" customFormat="false" ht="15" hidden="false" customHeight="false" outlineLevel="0" collapsed="false">
      <c r="A88" s="7" t="s">
        <v>33</v>
      </c>
      <c r="B88" s="7" t="s">
        <v>243</v>
      </c>
      <c r="C88" s="15" t="s">
        <v>150</v>
      </c>
      <c r="D88" s="7" t="s">
        <v>77</v>
      </c>
      <c r="E88" s="8" t="n">
        <f aca="false">SUMIFS('Take-off'!$E$5:$E$334,'Take-off'!$A$5:$A$334,"RAS",'Take-off'!$C$5:$C$334,"RC_WALL")</f>
        <v>969.103817290625</v>
      </c>
      <c r="F88" s="16"/>
      <c r="G88" s="8" t="n">
        <f aca="false">E88*F88</f>
        <v>0</v>
      </c>
      <c r="H88" s="7" t="s">
        <v>79</v>
      </c>
      <c r="I88" s="15" t="s">
        <v>146</v>
      </c>
      <c r="J88" s="7" t="s">
        <v>136</v>
      </c>
    </row>
    <row r="89" customFormat="false" ht="15" hidden="false" customHeight="false" outlineLevel="0" collapsed="false">
      <c r="A89" s="7" t="s">
        <v>33</v>
      </c>
      <c r="B89" s="7" t="s">
        <v>244</v>
      </c>
      <c r="C89" s="15" t="s">
        <v>152</v>
      </c>
      <c r="D89" s="7" t="s">
        <v>77</v>
      </c>
      <c r="E89" s="8" t="n">
        <f aca="false">SUMIFS('Take-off'!$E$5:$E$334,'Take-off'!$A$5:$A$334,"RAS",'Take-off'!$C$5:$C$334,"RC_SLAB")</f>
        <v>65.2813931595337</v>
      </c>
      <c r="F89" s="16"/>
      <c r="G89" s="8" t="n">
        <f aca="false">E89*F89</f>
        <v>0</v>
      </c>
      <c r="H89" s="7" t="s">
        <v>81</v>
      </c>
      <c r="I89" s="15" t="s">
        <v>146</v>
      </c>
      <c r="J89" s="7" t="s">
        <v>136</v>
      </c>
    </row>
    <row r="90" customFormat="false" ht="15" hidden="false" customHeight="false" outlineLevel="0" collapsed="false">
      <c r="A90" s="7" t="s">
        <v>33</v>
      </c>
      <c r="B90" s="7" t="s">
        <v>245</v>
      </c>
      <c r="C90" s="15" t="s">
        <v>156</v>
      </c>
      <c r="D90" s="7" t="s">
        <v>96</v>
      </c>
      <c r="E90" s="8" t="n">
        <f aca="false">SUMIFS('Take-off'!$G$5:$G$334,'Take-off'!$A$5:$A$334,"RAS",'Take-off'!$C$5:$C$334,"RC_BASE")+SUMIFS('Take-off'!$G$5:$G$334,'Take-off'!$A$5:$A$334,"RAS",'Take-off'!$C$5:$C$334,"RC_WALL")+SUMIFS('Take-off'!$G$5:$G$334,'Take-off'!$A$5:$A$334,"RAS",'Take-off'!$C$5:$C$334,"RC_SLAB")</f>
        <v>3458.95016621053</v>
      </c>
      <c r="F90" s="16"/>
      <c r="G90" s="8" t="n">
        <f aca="false">E90*F90</f>
        <v>0</v>
      </c>
      <c r="H90" s="7" t="s">
        <v>95</v>
      </c>
      <c r="I90" s="15" t="s">
        <v>157</v>
      </c>
      <c r="J90" s="7" t="s">
        <v>136</v>
      </c>
    </row>
    <row r="91" customFormat="false" ht="15" hidden="false" customHeight="false" outlineLevel="0" collapsed="false">
      <c r="A91" s="7" t="s">
        <v>33</v>
      </c>
      <c r="B91" s="7" t="s">
        <v>246</v>
      </c>
      <c r="C91" s="15" t="s">
        <v>159</v>
      </c>
      <c r="D91" s="7" t="s">
        <v>99</v>
      </c>
      <c r="E91" s="17" t="n">
        <f aca="false">(SUMIFS('Take-off'!$E$5:$E$334,'Take-off'!$A$5:$A$334,"RAS",'Take-off'!$C$5:$C$334,"RC_BASE")*RR_BASE+SUMIFS('Take-off'!$E$5:$E$334,'Take-off'!$A$5:$A$334,"RAS",'Take-off'!$C$5:$C$334,"RC_WALL")*RR_WALL+SUMIFS('Take-off'!$E$5:$E$334,'Take-off'!$A$5:$A$334,"RAS",'Take-off'!$C$5:$C$334,"RC_SLAB")*RR_SLAB)/1000</f>
        <v>187.458719310855</v>
      </c>
      <c r="F91" s="16"/>
      <c r="G91" s="8" t="n">
        <f aca="false">E91*F91</f>
        <v>0</v>
      </c>
      <c r="H91" s="7" t="s">
        <v>98</v>
      </c>
      <c r="I91" s="15" t="s">
        <v>160</v>
      </c>
      <c r="J91" s="7" t="s">
        <v>143</v>
      </c>
    </row>
    <row r="92" customFormat="false" ht="15" hidden="false" customHeight="false" outlineLevel="0" collapsed="false">
      <c r="A92" s="13" t="s">
        <v>35</v>
      </c>
      <c r="B92" s="14"/>
      <c r="C92" s="13" t="s">
        <v>36</v>
      </c>
      <c r="D92" s="14"/>
      <c r="E92" s="14"/>
      <c r="F92" s="14"/>
      <c r="G92" s="14"/>
      <c r="H92" s="14"/>
      <c r="I92" s="14"/>
      <c r="J92" s="14"/>
    </row>
    <row r="93" customFormat="false" ht="23.85" hidden="false" customHeight="false" outlineLevel="0" collapsed="false">
      <c r="A93" s="7" t="s">
        <v>35</v>
      </c>
      <c r="B93" s="7" t="s">
        <v>247</v>
      </c>
      <c r="C93" s="15" t="s">
        <v>134</v>
      </c>
      <c r="D93" s="7" t="s">
        <v>77</v>
      </c>
      <c r="E93" s="8" t="n">
        <f aca="false">SUMIFS(Structures!$I$5:$I$55,Structures!$A$5:$A$55,"CCT")</f>
        <v>31602.2957752646</v>
      </c>
      <c r="F93" s="16"/>
      <c r="G93" s="8" t="n">
        <f aca="false">E93*F93</f>
        <v>0</v>
      </c>
      <c r="H93" s="7" t="s">
        <v>106</v>
      </c>
      <c r="I93" s="15" t="s">
        <v>135</v>
      </c>
      <c r="J93" s="7" t="s">
        <v>136</v>
      </c>
    </row>
    <row r="94" customFormat="false" ht="15" hidden="false" customHeight="false" outlineLevel="0" collapsed="false">
      <c r="A94" s="7" t="s">
        <v>35</v>
      </c>
      <c r="B94" s="7" t="s">
        <v>248</v>
      </c>
      <c r="C94" s="15" t="s">
        <v>138</v>
      </c>
      <c r="D94" s="7" t="s">
        <v>77</v>
      </c>
      <c r="E94" s="8" t="n">
        <f aca="false">SUMIFS(Structures!$J$5:$J$55,Structures!$A$5:$A$55,"CCT")</f>
        <v>9113.26577526458</v>
      </c>
      <c r="F94" s="16"/>
      <c r="G94" s="8" t="n">
        <f aca="false">E94*F94</f>
        <v>0</v>
      </c>
      <c r="H94" s="7" t="s">
        <v>108</v>
      </c>
      <c r="I94" s="15" t="s">
        <v>139</v>
      </c>
      <c r="J94" s="7" t="s">
        <v>136</v>
      </c>
    </row>
    <row r="95" customFormat="false" ht="23.85" hidden="false" customHeight="false" outlineLevel="0" collapsed="false">
      <c r="A95" s="7" t="s">
        <v>35</v>
      </c>
      <c r="B95" s="7" t="s">
        <v>249</v>
      </c>
      <c r="C95" s="15" t="s">
        <v>141</v>
      </c>
      <c r="D95" s="7" t="s">
        <v>104</v>
      </c>
      <c r="E95" s="8" t="n">
        <f aca="false">SUMIFS(Structures!$N$5:$N$55,Structures!$A$5:$A$55,"CCT")</f>
        <v>677</v>
      </c>
      <c r="F95" s="16"/>
      <c r="G95" s="8" t="n">
        <f aca="false">E95*F95</f>
        <v>0</v>
      </c>
      <c r="H95" s="7" t="s">
        <v>103</v>
      </c>
      <c r="I95" s="15" t="s">
        <v>142</v>
      </c>
      <c r="J95" s="7" t="s">
        <v>143</v>
      </c>
    </row>
    <row r="96" customFormat="false" ht="15" hidden="false" customHeight="false" outlineLevel="0" collapsed="false">
      <c r="A96" s="7" t="s">
        <v>35</v>
      </c>
      <c r="B96" s="7" t="s">
        <v>250</v>
      </c>
      <c r="C96" s="15" t="s">
        <v>172</v>
      </c>
      <c r="D96" s="7" t="s">
        <v>77</v>
      </c>
      <c r="E96" s="8" t="n">
        <f aca="false">SUMIFS('Take-off'!$E$5:$E$334,'Take-off'!$A$5:$A$334,"CCT",'Take-off'!$C$5:$C$334,"BLINDING")</f>
        <v>720.68995390252</v>
      </c>
      <c r="F96" s="16"/>
      <c r="G96" s="8" t="n">
        <f aca="false">E96*F96</f>
        <v>0</v>
      </c>
      <c r="H96" s="7" t="s">
        <v>91</v>
      </c>
      <c r="I96" s="15" t="s">
        <v>146</v>
      </c>
      <c r="J96" s="7" t="s">
        <v>136</v>
      </c>
    </row>
    <row r="97" customFormat="false" ht="15" hidden="false" customHeight="false" outlineLevel="0" collapsed="false">
      <c r="A97" s="7" t="s">
        <v>35</v>
      </c>
      <c r="B97" s="7" t="s">
        <v>251</v>
      </c>
      <c r="C97" s="15" t="s">
        <v>148</v>
      </c>
      <c r="D97" s="7" t="s">
        <v>77</v>
      </c>
      <c r="E97" s="8" t="n">
        <f aca="false">SUMIFS('Take-off'!$E$5:$E$334,'Take-off'!$A$5:$A$334,"CCT",'Take-off'!$C$5:$C$334,"RC_BASE")</f>
        <v>2676.75858427517</v>
      </c>
      <c r="F97" s="16"/>
      <c r="G97" s="8" t="n">
        <f aca="false">E97*F97</f>
        <v>0</v>
      </c>
      <c r="H97" s="7" t="s">
        <v>76</v>
      </c>
      <c r="I97" s="15" t="s">
        <v>146</v>
      </c>
      <c r="J97" s="7" t="s">
        <v>136</v>
      </c>
    </row>
    <row r="98" customFormat="false" ht="15" hidden="false" customHeight="false" outlineLevel="0" collapsed="false">
      <c r="A98" s="7" t="s">
        <v>35</v>
      </c>
      <c r="B98" s="7" t="s">
        <v>252</v>
      </c>
      <c r="C98" s="15" t="s">
        <v>150</v>
      </c>
      <c r="D98" s="7" t="s">
        <v>77</v>
      </c>
      <c r="E98" s="8" t="n">
        <f aca="false">SUMIFS('Take-off'!$E$5:$E$334,'Take-off'!$A$5:$A$334,"CCT",'Take-off'!$C$5:$C$334,"RC_WALL")</f>
        <v>1000.68850368975</v>
      </c>
      <c r="F98" s="16"/>
      <c r="G98" s="8" t="n">
        <f aca="false">E98*F98</f>
        <v>0</v>
      </c>
      <c r="H98" s="7" t="s">
        <v>79</v>
      </c>
      <c r="I98" s="15" t="s">
        <v>146</v>
      </c>
      <c r="J98" s="7" t="s">
        <v>136</v>
      </c>
    </row>
    <row r="99" customFormat="false" ht="15" hidden="false" customHeight="false" outlineLevel="0" collapsed="false">
      <c r="A99" s="7" t="s">
        <v>35</v>
      </c>
      <c r="B99" s="7" t="s">
        <v>253</v>
      </c>
      <c r="C99" s="15" t="s">
        <v>152</v>
      </c>
      <c r="D99" s="7" t="s">
        <v>77</v>
      </c>
      <c r="E99" s="8" t="n">
        <f aca="false">SUMIFS('Take-off'!$E$5:$E$334,'Take-off'!$A$5:$A$334,"CCT",'Take-off'!$C$5:$C$334,"RC_SLAB")</f>
        <v>40.5600048916648</v>
      </c>
      <c r="F99" s="16"/>
      <c r="G99" s="8" t="n">
        <f aca="false">E99*F99</f>
        <v>0</v>
      </c>
      <c r="H99" s="7" t="s">
        <v>81</v>
      </c>
      <c r="I99" s="15" t="s">
        <v>146</v>
      </c>
      <c r="J99" s="7" t="s">
        <v>136</v>
      </c>
    </row>
    <row r="100" customFormat="false" ht="23.85" hidden="false" customHeight="false" outlineLevel="0" collapsed="false">
      <c r="A100" s="7" t="s">
        <v>35</v>
      </c>
      <c r="B100" s="7" t="s">
        <v>254</v>
      </c>
      <c r="C100" s="15" t="s">
        <v>154</v>
      </c>
      <c r="D100" s="7" t="s">
        <v>77</v>
      </c>
      <c r="E100" s="8" t="n">
        <f aca="false">SUMIFS('Take-off'!$E$5:$E$334,'Take-off'!$A$5:$A$334,"CCT",'Take-off'!$C$5:$C$334,"RC_MISC")</f>
        <v>349.275869444963</v>
      </c>
      <c r="F100" s="16"/>
      <c r="G100" s="8" t="n">
        <f aca="false">E100*F100</f>
        <v>0</v>
      </c>
      <c r="H100" s="7" t="s">
        <v>85</v>
      </c>
      <c r="I100" s="15" t="s">
        <v>146</v>
      </c>
      <c r="J100" s="7" t="s">
        <v>136</v>
      </c>
    </row>
    <row r="101" customFormat="false" ht="15" hidden="false" customHeight="false" outlineLevel="0" collapsed="false">
      <c r="A101" s="7" t="s">
        <v>35</v>
      </c>
      <c r="B101" s="7" t="s">
        <v>255</v>
      </c>
      <c r="C101" s="15" t="s">
        <v>156</v>
      </c>
      <c r="D101" s="7" t="s">
        <v>96</v>
      </c>
      <c r="E101" s="8" t="n">
        <f aca="false">SUMIFS('Take-off'!$G$5:$G$334,'Take-off'!$A$5:$A$334,"CCT",'Take-off'!$C$5:$C$334,"RC_BASE")+SUMIFS('Take-off'!$G$5:$G$334,'Take-off'!$A$5:$A$334,"CCT",'Take-off'!$C$5:$C$334,"RC_WALL")+SUMIFS('Take-off'!$G$5:$G$334,'Take-off'!$A$5:$A$334,"CCT",'Take-off'!$C$5:$C$334,"RC_SLAB")+SUMIFS('Take-off'!$G$5:$G$334,'Take-off'!$A$5:$A$334,"CCT",'Take-off'!$C$5:$C$334,"RC_MISC")</f>
        <v>8196.93595814877</v>
      </c>
      <c r="F101" s="16"/>
      <c r="G101" s="8" t="n">
        <f aca="false">E101*F101</f>
        <v>0</v>
      </c>
      <c r="H101" s="7" t="s">
        <v>95</v>
      </c>
      <c r="I101" s="15" t="s">
        <v>157</v>
      </c>
      <c r="J101" s="7" t="s">
        <v>136</v>
      </c>
    </row>
    <row r="102" customFormat="false" ht="15" hidden="false" customHeight="false" outlineLevel="0" collapsed="false">
      <c r="A102" s="7" t="s">
        <v>35</v>
      </c>
      <c r="B102" s="7" t="s">
        <v>256</v>
      </c>
      <c r="C102" s="15" t="s">
        <v>159</v>
      </c>
      <c r="D102" s="7" t="s">
        <v>99</v>
      </c>
      <c r="E102" s="17" t="n">
        <f aca="false">(SUMIFS('Take-off'!$E$5:$E$334,'Take-off'!$A$5:$A$334,"CCT",'Take-off'!$C$5:$C$334,"RC_BASE")*RR_BASE+SUMIFS('Take-off'!$E$5:$E$334,'Take-off'!$A$5:$A$334,"CCT",'Take-off'!$C$5:$C$334,"RC_WALL")*RR_WALL+SUMIFS('Take-off'!$E$5:$E$334,'Take-off'!$A$5:$A$334,"CCT",'Take-off'!$C$5:$C$334,"RC_SLAB")*RR_SLAB+SUMIFS('Take-off'!$E$5:$E$334,'Take-off'!$A$5:$A$334,"CCT",'Take-off'!$C$5:$C$334,"RC_MISC")*RR_MISC)/1000</f>
        <v>477.18822269777</v>
      </c>
      <c r="F102" s="16"/>
      <c r="G102" s="8" t="n">
        <f aca="false">E102*F102</f>
        <v>0</v>
      </c>
      <c r="H102" s="7" t="s">
        <v>98</v>
      </c>
      <c r="I102" s="15" t="s">
        <v>160</v>
      </c>
      <c r="J102" s="7" t="s">
        <v>143</v>
      </c>
    </row>
    <row r="103" customFormat="false" ht="15" hidden="false" customHeight="false" outlineLevel="0" collapsed="false">
      <c r="A103" s="7" t="s">
        <v>35</v>
      </c>
      <c r="B103" s="7" t="s">
        <v>257</v>
      </c>
      <c r="C103" s="15" t="s">
        <v>162</v>
      </c>
      <c r="D103" s="7" t="s">
        <v>113</v>
      </c>
      <c r="E103" s="8" t="n">
        <f aca="false">SUMIFS('Take-off'!$H$5:$H$334,'Take-off'!$A$5:$A$334,"CCT",'Take-off'!$C$5:$C$334,"HANDRAIL")/RAILS_PER_RUN</f>
        <v>234.713959693909</v>
      </c>
      <c r="F103" s="16"/>
      <c r="G103" s="8" t="n">
        <f aca="false">E103*F103</f>
        <v>0</v>
      </c>
      <c r="H103" s="7" t="s">
        <v>117</v>
      </c>
      <c r="I103" s="15" t="s">
        <v>163</v>
      </c>
      <c r="J103" s="7" t="s">
        <v>143</v>
      </c>
    </row>
    <row r="104" customFormat="false" ht="15" hidden="false" customHeight="false" outlineLevel="0" collapsed="false">
      <c r="A104" s="7" t="s">
        <v>35</v>
      </c>
      <c r="B104" s="7" t="s">
        <v>258</v>
      </c>
      <c r="C104" s="15" t="s">
        <v>165</v>
      </c>
      <c r="D104" s="7" t="s">
        <v>77</v>
      </c>
      <c r="E104" s="8" t="n">
        <f aca="false">SUMIFS('Take-off'!$E$5:$E$334,'Take-off'!$A$5:$A$334,"CCT",'Take-off'!$C$5:$C$334,"STAIRS")</f>
        <v>3.57935382644544</v>
      </c>
      <c r="F104" s="16"/>
      <c r="G104" s="8" t="n">
        <f aca="false">E104*F104</f>
        <v>0</v>
      </c>
      <c r="H104" s="7" t="s">
        <v>166</v>
      </c>
      <c r="I104" s="15" t="s">
        <v>259</v>
      </c>
      <c r="J104" s="7" t="s">
        <v>143</v>
      </c>
    </row>
    <row r="105" customFormat="false" ht="15" hidden="false" customHeight="false" outlineLevel="0" collapsed="false">
      <c r="A105" s="13" t="s">
        <v>37</v>
      </c>
      <c r="B105" s="14"/>
      <c r="C105" s="13" t="s">
        <v>38</v>
      </c>
      <c r="D105" s="14"/>
      <c r="E105" s="14"/>
      <c r="F105" s="14"/>
      <c r="G105" s="14"/>
      <c r="H105" s="14"/>
      <c r="I105" s="14"/>
      <c r="J105" s="14"/>
    </row>
    <row r="106" customFormat="false" ht="23.85" hidden="false" customHeight="false" outlineLevel="0" collapsed="false">
      <c r="A106" s="7" t="s">
        <v>37</v>
      </c>
      <c r="B106" s="7" t="s">
        <v>260</v>
      </c>
      <c r="C106" s="15" t="s">
        <v>134</v>
      </c>
      <c r="D106" s="7" t="s">
        <v>77</v>
      </c>
      <c r="E106" s="8" t="n">
        <f aca="false">SUMIFS(Structures!$I$5:$I$55,Structures!$A$5:$A$55,"FIRE")</f>
        <v>7851.05882206137</v>
      </c>
      <c r="F106" s="16"/>
      <c r="G106" s="8" t="n">
        <f aca="false">E106*F106</f>
        <v>0</v>
      </c>
      <c r="H106" s="7" t="s">
        <v>106</v>
      </c>
      <c r="I106" s="15" t="s">
        <v>135</v>
      </c>
      <c r="J106" s="7" t="s">
        <v>136</v>
      </c>
    </row>
    <row r="107" customFormat="false" ht="15" hidden="false" customHeight="false" outlineLevel="0" collapsed="false">
      <c r="A107" s="7" t="s">
        <v>37</v>
      </c>
      <c r="B107" s="7" t="s">
        <v>261</v>
      </c>
      <c r="C107" s="15" t="s">
        <v>138</v>
      </c>
      <c r="D107" s="7" t="s">
        <v>77</v>
      </c>
      <c r="E107" s="8" t="n">
        <f aca="false">SUMIFS(Structures!$J$5:$J$55,Structures!$A$5:$A$55,"FIRE")</f>
        <v>3854.27882206137</v>
      </c>
      <c r="F107" s="16"/>
      <c r="G107" s="8" t="n">
        <f aca="false">E107*F107</f>
        <v>0</v>
      </c>
      <c r="H107" s="7" t="s">
        <v>108</v>
      </c>
      <c r="I107" s="15" t="s">
        <v>139</v>
      </c>
      <c r="J107" s="7" t="s">
        <v>136</v>
      </c>
    </row>
    <row r="108" customFormat="false" ht="23.85" hidden="false" customHeight="false" outlineLevel="0" collapsed="false">
      <c r="A108" s="7" t="s">
        <v>37</v>
      </c>
      <c r="B108" s="7" t="s">
        <v>262</v>
      </c>
      <c r="C108" s="15" t="s">
        <v>141</v>
      </c>
      <c r="D108" s="7" t="s">
        <v>104</v>
      </c>
      <c r="E108" s="8" t="n">
        <f aca="false">SUMIFS(Structures!$N$5:$N$55,Structures!$A$5:$A$55,"FIRE")</f>
        <v>74</v>
      </c>
      <c r="F108" s="16"/>
      <c r="G108" s="8" t="n">
        <f aca="false">E108*F108</f>
        <v>0</v>
      </c>
      <c r="H108" s="7" t="s">
        <v>103</v>
      </c>
      <c r="I108" s="15" t="s">
        <v>142</v>
      </c>
      <c r="J108" s="7" t="s">
        <v>143</v>
      </c>
    </row>
    <row r="109" customFormat="false" ht="15" hidden="false" customHeight="false" outlineLevel="0" collapsed="false">
      <c r="A109" s="7" t="s">
        <v>37</v>
      </c>
      <c r="B109" s="7" t="s">
        <v>263</v>
      </c>
      <c r="C109" s="15" t="s">
        <v>148</v>
      </c>
      <c r="D109" s="7" t="s">
        <v>77</v>
      </c>
      <c r="E109" s="8" t="n">
        <f aca="false">SUMIFS('Take-off'!$E$5:$E$334,'Take-off'!$A$5:$A$334,"FIRE",'Take-off'!$C$5:$C$334,"RC_BASE")</f>
        <v>352.83197145218</v>
      </c>
      <c r="F109" s="16"/>
      <c r="G109" s="8" t="n">
        <f aca="false">E109*F109</f>
        <v>0</v>
      </c>
      <c r="H109" s="7" t="s">
        <v>76</v>
      </c>
      <c r="I109" s="15" t="s">
        <v>146</v>
      </c>
      <c r="J109" s="7" t="s">
        <v>136</v>
      </c>
    </row>
    <row r="110" customFormat="false" ht="15" hidden="false" customHeight="false" outlineLevel="0" collapsed="false">
      <c r="A110" s="7" t="s">
        <v>37</v>
      </c>
      <c r="B110" s="7" t="s">
        <v>264</v>
      </c>
      <c r="C110" s="15" t="s">
        <v>150</v>
      </c>
      <c r="D110" s="7" t="s">
        <v>77</v>
      </c>
      <c r="E110" s="8" t="n">
        <f aca="false">SUMIFS('Take-off'!$E$5:$E$334,'Take-off'!$A$5:$A$334,"FIRE",'Take-off'!$C$5:$C$334,"RC_WALL")</f>
        <v>902.202683023149</v>
      </c>
      <c r="F110" s="16"/>
      <c r="G110" s="8" t="n">
        <f aca="false">E110*F110</f>
        <v>0</v>
      </c>
      <c r="H110" s="7" t="s">
        <v>79</v>
      </c>
      <c r="I110" s="15" t="s">
        <v>146</v>
      </c>
      <c r="J110" s="7" t="s">
        <v>136</v>
      </c>
    </row>
    <row r="111" customFormat="false" ht="15" hidden="false" customHeight="false" outlineLevel="0" collapsed="false">
      <c r="A111" s="7" t="s">
        <v>37</v>
      </c>
      <c r="B111" s="7" t="s">
        <v>265</v>
      </c>
      <c r="C111" s="15" t="s">
        <v>152</v>
      </c>
      <c r="D111" s="7" t="s">
        <v>77</v>
      </c>
      <c r="E111" s="8" t="n">
        <f aca="false">SUMIFS('Take-off'!$E$5:$E$334,'Take-off'!$A$5:$A$334,"FIRE",'Take-off'!$C$5:$C$334,"RC_SLAB")</f>
        <v>233.069996351936</v>
      </c>
      <c r="F111" s="16"/>
      <c r="G111" s="8" t="n">
        <f aca="false">E111*F111</f>
        <v>0</v>
      </c>
      <c r="H111" s="7" t="s">
        <v>81</v>
      </c>
      <c r="I111" s="15" t="s">
        <v>146</v>
      </c>
      <c r="J111" s="7" t="s">
        <v>136</v>
      </c>
    </row>
    <row r="112" customFormat="false" ht="15" hidden="false" customHeight="false" outlineLevel="0" collapsed="false">
      <c r="A112" s="7" t="s">
        <v>37</v>
      </c>
      <c r="B112" s="7" t="s">
        <v>266</v>
      </c>
      <c r="C112" s="15" t="s">
        <v>178</v>
      </c>
      <c r="D112" s="7" t="s">
        <v>77</v>
      </c>
      <c r="E112" s="8" t="n">
        <f aca="false">SUMIFS('Take-off'!$E$5:$E$334,'Take-off'!$A$5:$A$334,"FIRE",'Take-off'!$C$5:$C$334,"RC_COLBEAM")</f>
        <v>35.7199452934026</v>
      </c>
      <c r="F112" s="16"/>
      <c r="G112" s="8" t="n">
        <f aca="false">E112*F112</f>
        <v>0</v>
      </c>
      <c r="H112" s="7" t="s">
        <v>83</v>
      </c>
      <c r="I112" s="15" t="s">
        <v>146</v>
      </c>
      <c r="J112" s="7" t="s">
        <v>136</v>
      </c>
    </row>
    <row r="113" customFormat="false" ht="23.85" hidden="false" customHeight="false" outlineLevel="0" collapsed="false">
      <c r="A113" s="7" t="s">
        <v>37</v>
      </c>
      <c r="B113" s="7" t="s">
        <v>267</v>
      </c>
      <c r="C113" s="15" t="s">
        <v>154</v>
      </c>
      <c r="D113" s="7" t="s">
        <v>77</v>
      </c>
      <c r="E113" s="8" t="n">
        <f aca="false">SUMIFS('Take-off'!$E$5:$E$334,'Take-off'!$A$5:$A$334,"FIRE",'Take-off'!$C$5:$C$334,"RC_MISC")</f>
        <v>24.8549514338694</v>
      </c>
      <c r="F113" s="16"/>
      <c r="G113" s="8" t="n">
        <f aca="false">E113*F113</f>
        <v>0</v>
      </c>
      <c r="H113" s="7" t="s">
        <v>85</v>
      </c>
      <c r="I113" s="15" t="s">
        <v>146</v>
      </c>
      <c r="J113" s="7" t="s">
        <v>136</v>
      </c>
    </row>
    <row r="114" customFormat="false" ht="15" hidden="false" customHeight="false" outlineLevel="0" collapsed="false">
      <c r="A114" s="7" t="s">
        <v>37</v>
      </c>
      <c r="B114" s="7" t="s">
        <v>268</v>
      </c>
      <c r="C114" s="15" t="s">
        <v>269</v>
      </c>
      <c r="D114" s="7" t="s">
        <v>77</v>
      </c>
      <c r="E114" s="8" t="n">
        <f aca="false">SUMIFS('Take-off'!$E$5:$E$334,'Take-off'!$A$5:$A$334,"FIRE",'Take-off'!$C$5:$C$334,"RC_PLINTH")</f>
        <v>5.28750397872427</v>
      </c>
      <c r="F114" s="16"/>
      <c r="G114" s="8" t="n">
        <f aca="false">E114*F114</f>
        <v>0</v>
      </c>
      <c r="H114" s="7" t="s">
        <v>87</v>
      </c>
      <c r="I114" s="15" t="s">
        <v>146</v>
      </c>
      <c r="J114" s="7" t="s">
        <v>136</v>
      </c>
    </row>
    <row r="115" customFormat="false" ht="15" hidden="false" customHeight="false" outlineLevel="0" collapsed="false">
      <c r="A115" s="7" t="s">
        <v>37</v>
      </c>
      <c r="B115" s="7" t="s">
        <v>270</v>
      </c>
      <c r="C115" s="15" t="s">
        <v>156</v>
      </c>
      <c r="D115" s="7" t="s">
        <v>96</v>
      </c>
      <c r="E115" s="8" t="n">
        <f aca="false">SUMIFS('Take-off'!$G$5:$G$334,'Take-off'!$A$5:$A$334,"FIRE",'Take-off'!$C$5:$C$334,"RC_BASE")+SUMIFS('Take-off'!$G$5:$G$334,'Take-off'!$A$5:$A$334,"FIRE",'Take-off'!$C$5:$C$334,"RC_WALL")+SUMIFS('Take-off'!$G$5:$G$334,'Take-off'!$A$5:$A$334,"FIRE",'Take-off'!$C$5:$C$334,"RC_SLAB")+SUMIFS('Take-off'!$G$5:$G$334,'Take-off'!$A$5:$A$334,"FIRE",'Take-off'!$C$5:$C$334,"RC_COLBEAM")+SUMIFS('Take-off'!$G$5:$G$334,'Take-off'!$A$5:$A$334,"FIRE",'Take-off'!$C$5:$C$334,"RC_MISC")+SUMIFS('Take-off'!$G$5:$G$334,'Take-off'!$A$5:$A$334,"FIRE",'Take-off'!$C$5:$C$334,"RC_PLINTH")</f>
        <v>6166.22966122086</v>
      </c>
      <c r="F115" s="16"/>
      <c r="G115" s="8" t="n">
        <f aca="false">E115*F115</f>
        <v>0</v>
      </c>
      <c r="H115" s="7" t="s">
        <v>95</v>
      </c>
      <c r="I115" s="15" t="s">
        <v>157</v>
      </c>
      <c r="J115" s="7" t="s">
        <v>136</v>
      </c>
    </row>
    <row r="116" customFormat="false" ht="15" hidden="false" customHeight="false" outlineLevel="0" collapsed="false">
      <c r="A116" s="7" t="s">
        <v>37</v>
      </c>
      <c r="B116" s="7" t="s">
        <v>271</v>
      </c>
      <c r="C116" s="15" t="s">
        <v>159</v>
      </c>
      <c r="D116" s="7" t="s">
        <v>99</v>
      </c>
      <c r="E116" s="17" t="n">
        <f aca="false">(SUMIFS('Take-off'!$E$5:$E$334,'Take-off'!$A$5:$A$334,"FIRE",'Take-off'!$C$5:$C$334,"RC_BASE")*RR_BASE+SUMIFS('Take-off'!$E$5:$E$334,'Take-off'!$A$5:$A$334,"FIRE",'Take-off'!$C$5:$C$334,"RC_WALL")*RR_WALL+SUMIFS('Take-off'!$E$5:$E$334,'Take-off'!$A$5:$A$334,"FIRE",'Take-off'!$C$5:$C$334,"RC_SLAB")*RR_SLAB+SUMIFS('Take-off'!$E$5:$E$334,'Take-off'!$A$5:$A$334,"FIRE",'Take-off'!$C$5:$C$334,"RC_COLBEAM")*RR_COLBEAM+SUMIFS('Take-off'!$E$5:$E$334,'Take-off'!$A$5:$A$334,"FIRE",'Take-off'!$C$5:$C$334,"RC_MISC")*RR_MISC+SUMIFS('Take-off'!$E$5:$E$334,'Take-off'!$A$5:$A$334,"FIRE",'Take-off'!$C$5:$C$334,"RC_PLINTH")*RR_PLINTH)/1000</f>
        <v>204.444230251889</v>
      </c>
      <c r="F116" s="16"/>
      <c r="G116" s="8" t="n">
        <f aca="false">E116*F116</f>
        <v>0</v>
      </c>
      <c r="H116" s="7" t="s">
        <v>98</v>
      </c>
      <c r="I116" s="15" t="s">
        <v>160</v>
      </c>
      <c r="J116" s="7" t="s">
        <v>143</v>
      </c>
    </row>
    <row r="117" customFormat="false" ht="15" hidden="false" customHeight="false" outlineLevel="0" collapsed="false">
      <c r="A117" s="7" t="s">
        <v>37</v>
      </c>
      <c r="B117" s="7" t="s">
        <v>272</v>
      </c>
      <c r="C117" s="15" t="s">
        <v>162</v>
      </c>
      <c r="D117" s="7" t="s">
        <v>113</v>
      </c>
      <c r="E117" s="8" t="n">
        <f aca="false">SUMIFS('Take-off'!$H$5:$H$334,'Take-off'!$A$5:$A$334,"FIRE",'Take-off'!$C$5:$C$334,"HANDRAIL")/RAILS_PER_RUN</f>
        <v>104.955534934998</v>
      </c>
      <c r="F117" s="16"/>
      <c r="G117" s="8" t="n">
        <f aca="false">E117*F117</f>
        <v>0</v>
      </c>
      <c r="H117" s="7" t="s">
        <v>117</v>
      </c>
      <c r="I117" s="15" t="s">
        <v>163</v>
      </c>
      <c r="J117" s="7" t="s">
        <v>143</v>
      </c>
    </row>
    <row r="118" customFormat="false" ht="15" hidden="false" customHeight="false" outlineLevel="0" collapsed="false">
      <c r="A118" s="7" t="s">
        <v>37</v>
      </c>
      <c r="B118" s="7" t="s">
        <v>273</v>
      </c>
      <c r="C118" s="15" t="s">
        <v>165</v>
      </c>
      <c r="D118" s="7" t="s">
        <v>77</v>
      </c>
      <c r="E118" s="8" t="n">
        <f aca="false">SUMIFS('Take-off'!$E$5:$E$334,'Take-off'!$A$5:$A$334,"FIRE",'Take-off'!$C$5:$C$334,"STAIRS")</f>
        <v>7.79098841326231</v>
      </c>
      <c r="F118" s="16"/>
      <c r="G118" s="8" t="n">
        <f aca="false">E118*F118</f>
        <v>0</v>
      </c>
      <c r="H118" s="7" t="s">
        <v>166</v>
      </c>
      <c r="I118" s="15" t="s">
        <v>274</v>
      </c>
      <c r="J118" s="7" t="s">
        <v>143</v>
      </c>
    </row>
    <row r="119" customFormat="false" ht="15" hidden="false" customHeight="false" outlineLevel="0" collapsed="false">
      <c r="A119" s="7" t="s">
        <v>37</v>
      </c>
      <c r="B119" s="7" t="s">
        <v>275</v>
      </c>
      <c r="C119" s="15" t="s">
        <v>276</v>
      </c>
      <c r="D119" s="7" t="s">
        <v>104</v>
      </c>
      <c r="E119" s="8" t="n">
        <f aca="false">SUMIFS('Take-off'!$D$5:$D$334,'Take-off'!$A$5:$A$334,"FIRE",'Take-off'!$C$5:$C$334,"EQUIP")</f>
        <v>28</v>
      </c>
      <c r="F119" s="18" t="s">
        <v>277</v>
      </c>
      <c r="G119" s="8" t="n">
        <v>0</v>
      </c>
      <c r="H119" s="7" t="s">
        <v>278</v>
      </c>
      <c r="I119" s="15" t="s">
        <v>279</v>
      </c>
      <c r="J119" s="7" t="s">
        <v>136</v>
      </c>
    </row>
    <row r="120" customFormat="false" ht="15" hidden="false" customHeight="false" outlineLevel="0" collapsed="false">
      <c r="A120" s="7" t="s">
        <v>37</v>
      </c>
      <c r="B120" s="7" t="s">
        <v>280</v>
      </c>
      <c r="C120" s="15" t="s">
        <v>281</v>
      </c>
      <c r="D120" s="7" t="s">
        <v>104</v>
      </c>
      <c r="E120" s="8" t="n">
        <f aca="false">SUMIFS('Take-off'!$D$5:$D$334,'Take-off'!$A$5:$A$334,"FIRE",'Take-off'!$C$5:$C$334,"ARCH")</f>
        <v>18</v>
      </c>
      <c r="F120" s="18" t="s">
        <v>277</v>
      </c>
      <c r="G120" s="8" t="n">
        <v>0</v>
      </c>
      <c r="H120" s="7" t="s">
        <v>282</v>
      </c>
      <c r="I120" s="15" t="s">
        <v>279</v>
      </c>
      <c r="J120" s="7" t="s">
        <v>136</v>
      </c>
    </row>
    <row r="121" customFormat="false" ht="15" hidden="false" customHeight="false" outlineLevel="0" collapsed="false">
      <c r="A121" s="13" t="s">
        <v>39</v>
      </c>
      <c r="B121" s="14"/>
      <c r="C121" s="13" t="s">
        <v>40</v>
      </c>
      <c r="D121" s="14"/>
      <c r="E121" s="14"/>
      <c r="F121" s="14"/>
      <c r="G121" s="14"/>
      <c r="H121" s="14"/>
      <c r="I121" s="14"/>
      <c r="J121" s="14"/>
    </row>
    <row r="122" customFormat="false" ht="23.85" hidden="false" customHeight="false" outlineLevel="0" collapsed="false">
      <c r="A122" s="7" t="s">
        <v>39</v>
      </c>
      <c r="B122" s="7" t="s">
        <v>283</v>
      </c>
      <c r="C122" s="15" t="s">
        <v>134</v>
      </c>
      <c r="D122" s="7" t="s">
        <v>77</v>
      </c>
      <c r="E122" s="8" t="n">
        <f aca="false">SUMIFS(Structures!$I$5:$I$55,Structures!$A$5:$A$55,"BLOW")</f>
        <v>0</v>
      </c>
      <c r="F122" s="16"/>
      <c r="G122" s="8" t="n">
        <f aca="false">E122*F122</f>
        <v>0</v>
      </c>
      <c r="H122" s="7" t="s">
        <v>106</v>
      </c>
      <c r="I122" s="15" t="s">
        <v>135</v>
      </c>
      <c r="J122" s="7" t="s">
        <v>136</v>
      </c>
    </row>
    <row r="123" customFormat="false" ht="15" hidden="false" customHeight="false" outlineLevel="0" collapsed="false">
      <c r="A123" s="7" t="s">
        <v>39</v>
      </c>
      <c r="B123" s="7" t="s">
        <v>284</v>
      </c>
      <c r="C123" s="15" t="s">
        <v>138</v>
      </c>
      <c r="D123" s="7" t="s">
        <v>77</v>
      </c>
      <c r="E123" s="8" t="n">
        <f aca="false">SUMIFS(Structures!$J$5:$J$55,Structures!$A$5:$A$55,"BLOW")</f>
        <v>0</v>
      </c>
      <c r="F123" s="16"/>
      <c r="G123" s="8" t="n">
        <f aca="false">E123*F123</f>
        <v>0</v>
      </c>
      <c r="H123" s="7" t="s">
        <v>108</v>
      </c>
      <c r="I123" s="15" t="s">
        <v>139</v>
      </c>
      <c r="J123" s="7" t="s">
        <v>136</v>
      </c>
    </row>
    <row r="124" customFormat="false" ht="23.85" hidden="false" customHeight="false" outlineLevel="0" collapsed="false">
      <c r="A124" s="7" t="s">
        <v>39</v>
      </c>
      <c r="B124" s="7" t="s">
        <v>285</v>
      </c>
      <c r="C124" s="15" t="s">
        <v>141</v>
      </c>
      <c r="D124" s="7" t="s">
        <v>104</v>
      </c>
      <c r="E124" s="8" t="n">
        <f aca="false">SUMIFS(Structures!$N$5:$N$55,Structures!$A$5:$A$55,"BLOW")</f>
        <v>42</v>
      </c>
      <c r="F124" s="16"/>
      <c r="G124" s="8" t="n">
        <f aca="false">E124*F124</f>
        <v>0</v>
      </c>
      <c r="H124" s="7" t="s">
        <v>103</v>
      </c>
      <c r="I124" s="15" t="s">
        <v>142</v>
      </c>
      <c r="J124" s="7" t="s">
        <v>143</v>
      </c>
    </row>
    <row r="125" customFormat="false" ht="15" hidden="false" customHeight="false" outlineLevel="0" collapsed="false">
      <c r="A125" s="7" t="s">
        <v>39</v>
      </c>
      <c r="B125" s="7" t="s">
        <v>286</v>
      </c>
      <c r="C125" s="15" t="s">
        <v>172</v>
      </c>
      <c r="D125" s="7" t="s">
        <v>77</v>
      </c>
      <c r="E125" s="8" t="n">
        <f aca="false">SUMIFS('Take-off'!$E$5:$E$334,'Take-off'!$A$5:$A$334,"BLOW",'Take-off'!$C$5:$C$334,"BLINDING")</f>
        <v>34.7360925918388</v>
      </c>
      <c r="F125" s="16"/>
      <c r="G125" s="8" t="n">
        <f aca="false">E125*F125</f>
        <v>0</v>
      </c>
      <c r="H125" s="7" t="s">
        <v>91</v>
      </c>
      <c r="I125" s="15" t="s">
        <v>146</v>
      </c>
      <c r="J125" s="7" t="s">
        <v>136</v>
      </c>
    </row>
    <row r="126" customFormat="false" ht="15" hidden="false" customHeight="false" outlineLevel="0" collapsed="false">
      <c r="A126" s="7" t="s">
        <v>39</v>
      </c>
      <c r="B126" s="7" t="s">
        <v>287</v>
      </c>
      <c r="C126" s="15" t="s">
        <v>148</v>
      </c>
      <c r="D126" s="7" t="s">
        <v>77</v>
      </c>
      <c r="E126" s="8" t="n">
        <f aca="false">SUMIFS('Take-off'!$E$5:$E$334,'Take-off'!$A$5:$A$334,"BLOW",'Take-off'!$C$5:$C$334,"RC_BASE")</f>
        <v>135.376149739451</v>
      </c>
      <c r="F126" s="16"/>
      <c r="G126" s="8" t="n">
        <f aca="false">E126*F126</f>
        <v>0</v>
      </c>
      <c r="H126" s="7" t="s">
        <v>76</v>
      </c>
      <c r="I126" s="15" t="s">
        <v>146</v>
      </c>
      <c r="J126" s="7" t="s">
        <v>136</v>
      </c>
    </row>
    <row r="127" customFormat="false" ht="15" hidden="false" customHeight="false" outlineLevel="0" collapsed="false">
      <c r="A127" s="7" t="s">
        <v>39</v>
      </c>
      <c r="B127" s="7" t="s">
        <v>288</v>
      </c>
      <c r="C127" s="15" t="s">
        <v>150</v>
      </c>
      <c r="D127" s="7" t="s">
        <v>77</v>
      </c>
      <c r="E127" s="8" t="n">
        <f aca="false">SUMIFS('Take-off'!$E$5:$E$334,'Take-off'!$A$5:$A$334,"BLOW",'Take-off'!$C$5:$C$334,"RC_WALL")</f>
        <v>259.823605653278</v>
      </c>
      <c r="F127" s="16"/>
      <c r="G127" s="8" t="n">
        <f aca="false">E127*F127</f>
        <v>0</v>
      </c>
      <c r="H127" s="7" t="s">
        <v>79</v>
      </c>
      <c r="I127" s="15" t="s">
        <v>146</v>
      </c>
      <c r="J127" s="7" t="s">
        <v>136</v>
      </c>
    </row>
    <row r="128" customFormat="false" ht="15" hidden="false" customHeight="false" outlineLevel="0" collapsed="false">
      <c r="A128" s="7" t="s">
        <v>39</v>
      </c>
      <c r="B128" s="7" t="s">
        <v>289</v>
      </c>
      <c r="C128" s="15" t="s">
        <v>152</v>
      </c>
      <c r="D128" s="7" t="s">
        <v>77</v>
      </c>
      <c r="E128" s="8" t="n">
        <f aca="false">SUMIFS('Take-off'!$E$5:$E$334,'Take-off'!$A$5:$A$334,"BLOW",'Take-off'!$C$5:$C$334,"RC_SLAB")</f>
        <v>96.876674247148</v>
      </c>
      <c r="F128" s="16"/>
      <c r="G128" s="8" t="n">
        <f aca="false">E128*F128</f>
        <v>0</v>
      </c>
      <c r="H128" s="7" t="s">
        <v>81</v>
      </c>
      <c r="I128" s="15" t="s">
        <v>146</v>
      </c>
      <c r="J128" s="7" t="s">
        <v>136</v>
      </c>
    </row>
    <row r="129" customFormat="false" ht="15" hidden="false" customHeight="false" outlineLevel="0" collapsed="false">
      <c r="A129" s="7" t="s">
        <v>39</v>
      </c>
      <c r="B129" s="7" t="s">
        <v>290</v>
      </c>
      <c r="C129" s="15" t="s">
        <v>178</v>
      </c>
      <c r="D129" s="7" t="s">
        <v>77</v>
      </c>
      <c r="E129" s="8" t="n">
        <f aca="false">SUMIFS('Take-off'!$E$5:$E$334,'Take-off'!$A$5:$A$334,"BLOW",'Take-off'!$C$5:$C$334,"RC_COLBEAM")</f>
        <v>73.2998006024028</v>
      </c>
      <c r="F129" s="16"/>
      <c r="G129" s="8" t="n">
        <f aca="false">E129*F129</f>
        <v>0</v>
      </c>
      <c r="H129" s="7" t="s">
        <v>83</v>
      </c>
      <c r="I129" s="15" t="s">
        <v>146</v>
      </c>
      <c r="J129" s="7" t="s">
        <v>136</v>
      </c>
    </row>
    <row r="130" customFormat="false" ht="23.85" hidden="false" customHeight="false" outlineLevel="0" collapsed="false">
      <c r="A130" s="7" t="s">
        <v>39</v>
      </c>
      <c r="B130" s="7" t="s">
        <v>291</v>
      </c>
      <c r="C130" s="15" t="s">
        <v>154</v>
      </c>
      <c r="D130" s="7" t="s">
        <v>77</v>
      </c>
      <c r="E130" s="8" t="n">
        <f aca="false">SUMIFS('Take-off'!$E$5:$E$334,'Take-off'!$A$5:$A$334,"BLOW",'Take-off'!$C$5:$C$334,"RC_MISC")</f>
        <v>63.3102302435636</v>
      </c>
      <c r="F130" s="16"/>
      <c r="G130" s="8" t="n">
        <f aca="false">E130*F130</f>
        <v>0</v>
      </c>
      <c r="H130" s="7" t="s">
        <v>85</v>
      </c>
      <c r="I130" s="15" t="s">
        <v>146</v>
      </c>
      <c r="J130" s="7" t="s">
        <v>136</v>
      </c>
    </row>
    <row r="131" customFormat="false" ht="15" hidden="false" customHeight="false" outlineLevel="0" collapsed="false">
      <c r="A131" s="7" t="s">
        <v>39</v>
      </c>
      <c r="B131" s="7" t="s">
        <v>292</v>
      </c>
      <c r="C131" s="15" t="s">
        <v>269</v>
      </c>
      <c r="D131" s="7" t="s">
        <v>77</v>
      </c>
      <c r="E131" s="8" t="n">
        <f aca="false">SUMIFS('Take-off'!$E$5:$E$334,'Take-off'!$A$5:$A$334,"BLOW",'Take-off'!$C$5:$C$334,"RC_PLINTH")</f>
        <v>14.9999976431068</v>
      </c>
      <c r="F131" s="16"/>
      <c r="G131" s="8" t="n">
        <f aca="false">E131*F131</f>
        <v>0</v>
      </c>
      <c r="H131" s="7" t="s">
        <v>87</v>
      </c>
      <c r="I131" s="15" t="s">
        <v>146</v>
      </c>
      <c r="J131" s="7" t="s">
        <v>136</v>
      </c>
    </row>
    <row r="132" customFormat="false" ht="15" hidden="false" customHeight="false" outlineLevel="0" collapsed="false">
      <c r="A132" s="7" t="s">
        <v>39</v>
      </c>
      <c r="B132" s="7" t="s">
        <v>293</v>
      </c>
      <c r="C132" s="15" t="s">
        <v>156</v>
      </c>
      <c r="D132" s="7" t="s">
        <v>96</v>
      </c>
      <c r="E132" s="8" t="n">
        <f aca="false">SUMIFS('Take-off'!$G$5:$G$334,'Take-off'!$A$5:$A$334,"BLOW",'Take-off'!$C$5:$C$334,"RC_BASE")+SUMIFS('Take-off'!$G$5:$G$334,'Take-off'!$A$5:$A$334,"BLOW",'Take-off'!$C$5:$C$334,"RC_WALL")+SUMIFS('Take-off'!$G$5:$G$334,'Take-off'!$A$5:$A$334,"BLOW",'Take-off'!$C$5:$C$334,"RC_SLAB")+SUMIFS('Take-off'!$G$5:$G$334,'Take-off'!$A$5:$A$334,"BLOW",'Take-off'!$C$5:$C$334,"RC_COLBEAM")+SUMIFS('Take-off'!$G$5:$G$334,'Take-off'!$A$5:$A$334,"BLOW",'Take-off'!$C$5:$C$334,"RC_MISC")+SUMIFS('Take-off'!$G$5:$G$334,'Take-off'!$A$5:$A$334,"BLOW",'Take-off'!$C$5:$C$334,"RC_PLINTH")</f>
        <v>3506.97253154614</v>
      </c>
      <c r="F132" s="16"/>
      <c r="G132" s="8" t="n">
        <f aca="false">E132*F132</f>
        <v>0</v>
      </c>
      <c r="H132" s="7" t="s">
        <v>95</v>
      </c>
      <c r="I132" s="15" t="s">
        <v>157</v>
      </c>
      <c r="J132" s="7" t="s">
        <v>136</v>
      </c>
    </row>
    <row r="133" customFormat="false" ht="15" hidden="false" customHeight="false" outlineLevel="0" collapsed="false">
      <c r="A133" s="7" t="s">
        <v>39</v>
      </c>
      <c r="B133" s="7" t="s">
        <v>294</v>
      </c>
      <c r="C133" s="15" t="s">
        <v>159</v>
      </c>
      <c r="D133" s="7" t="s">
        <v>99</v>
      </c>
      <c r="E133" s="17" t="n">
        <f aca="false">(SUMIFS('Take-off'!$E$5:$E$334,'Take-off'!$A$5:$A$334,"BLOW",'Take-off'!$C$5:$C$334,"RC_BASE")*RR_BASE+SUMIFS('Take-off'!$E$5:$E$334,'Take-off'!$A$5:$A$334,"BLOW",'Take-off'!$C$5:$C$334,"RC_WALL")*RR_WALL+SUMIFS('Take-off'!$E$5:$E$334,'Take-off'!$A$5:$A$334,"BLOW",'Take-off'!$C$5:$C$334,"RC_SLAB")*RR_SLAB+SUMIFS('Take-off'!$E$5:$E$334,'Take-off'!$A$5:$A$334,"BLOW",'Take-off'!$C$5:$C$334,"RC_COLBEAM")*RR_COLBEAM+SUMIFS('Take-off'!$E$5:$E$334,'Take-off'!$A$5:$A$334,"BLOW",'Take-off'!$C$5:$C$334,"RC_MISC")*RR_MISC+SUMIFS('Take-off'!$E$5:$E$334,'Take-off'!$A$5:$A$334,"BLOW",'Take-off'!$C$5:$C$334,"RC_PLINTH")*RR_PLINTH)/1000</f>
        <v>86.0788143172537</v>
      </c>
      <c r="F133" s="16"/>
      <c r="G133" s="8" t="n">
        <f aca="false">E133*F133</f>
        <v>0</v>
      </c>
      <c r="H133" s="7" t="s">
        <v>98</v>
      </c>
      <c r="I133" s="15" t="s">
        <v>160</v>
      </c>
      <c r="J133" s="7" t="s">
        <v>143</v>
      </c>
    </row>
    <row r="134" customFormat="false" ht="15" hidden="false" customHeight="false" outlineLevel="0" collapsed="false">
      <c r="A134" s="7" t="s">
        <v>39</v>
      </c>
      <c r="B134" s="7" t="s">
        <v>295</v>
      </c>
      <c r="C134" s="15" t="s">
        <v>276</v>
      </c>
      <c r="D134" s="7" t="s">
        <v>104</v>
      </c>
      <c r="E134" s="8" t="n">
        <f aca="false">SUMIFS('Take-off'!$D$5:$D$334,'Take-off'!$A$5:$A$334,"BLOW",'Take-off'!$C$5:$C$334,"EQUIP")</f>
        <v>24</v>
      </c>
      <c r="F134" s="18" t="s">
        <v>277</v>
      </c>
      <c r="G134" s="8" t="n">
        <v>0</v>
      </c>
      <c r="H134" s="7" t="s">
        <v>278</v>
      </c>
      <c r="I134" s="15" t="s">
        <v>279</v>
      </c>
      <c r="J134" s="7" t="s">
        <v>136</v>
      </c>
    </row>
    <row r="135" customFormat="false" ht="15" hidden="false" customHeight="false" outlineLevel="0" collapsed="false">
      <c r="A135" s="7" t="s">
        <v>39</v>
      </c>
      <c r="B135" s="7" t="s">
        <v>296</v>
      </c>
      <c r="C135" s="15" t="s">
        <v>281</v>
      </c>
      <c r="D135" s="7" t="s">
        <v>104</v>
      </c>
      <c r="E135" s="8" t="n">
        <f aca="false">SUMIFS('Take-off'!$D$5:$D$334,'Take-off'!$A$5:$A$334,"BLOW",'Take-off'!$C$5:$C$334,"ARCH")</f>
        <v>2</v>
      </c>
      <c r="F135" s="18" t="s">
        <v>277</v>
      </c>
      <c r="G135" s="8" t="n">
        <v>0</v>
      </c>
      <c r="H135" s="7" t="s">
        <v>282</v>
      </c>
      <c r="I135" s="15" t="s">
        <v>279</v>
      </c>
      <c r="J135" s="7" t="s">
        <v>136</v>
      </c>
    </row>
    <row r="136" customFormat="false" ht="15" hidden="false" customHeight="false" outlineLevel="0" collapsed="false">
      <c r="A136" s="13" t="s">
        <v>41</v>
      </c>
      <c r="B136" s="14"/>
      <c r="C136" s="13" t="s">
        <v>42</v>
      </c>
      <c r="D136" s="14"/>
      <c r="E136" s="14"/>
      <c r="F136" s="14"/>
      <c r="G136" s="14"/>
      <c r="H136" s="14"/>
      <c r="I136" s="14"/>
      <c r="J136" s="14"/>
    </row>
    <row r="137" customFormat="false" ht="23.85" hidden="false" customHeight="false" outlineLevel="0" collapsed="false">
      <c r="A137" s="7" t="s">
        <v>41</v>
      </c>
      <c r="B137" s="7" t="s">
        <v>297</v>
      </c>
      <c r="C137" s="15" t="s">
        <v>134</v>
      </c>
      <c r="D137" s="7" t="s">
        <v>77</v>
      </c>
      <c r="E137" s="8" t="n">
        <f aca="false">SUMIFS(Structures!$I$5:$I$55,Structures!$A$5:$A$55,"THK")</f>
        <v>1649.27960845861</v>
      </c>
      <c r="F137" s="16"/>
      <c r="G137" s="8" t="n">
        <f aca="false">E137*F137</f>
        <v>0</v>
      </c>
      <c r="H137" s="7" t="s">
        <v>106</v>
      </c>
      <c r="I137" s="15" t="s">
        <v>135</v>
      </c>
      <c r="J137" s="7" t="s">
        <v>136</v>
      </c>
    </row>
    <row r="138" customFormat="false" ht="15" hidden="false" customHeight="false" outlineLevel="0" collapsed="false">
      <c r="A138" s="7" t="s">
        <v>41</v>
      </c>
      <c r="B138" s="7" t="s">
        <v>298</v>
      </c>
      <c r="C138" s="15" t="s">
        <v>138</v>
      </c>
      <c r="D138" s="7" t="s">
        <v>77</v>
      </c>
      <c r="E138" s="8" t="n">
        <f aca="false">SUMIFS(Structures!$J$5:$J$55,Structures!$A$5:$A$55,"THK")</f>
        <v>335.811608458615</v>
      </c>
      <c r="F138" s="16"/>
      <c r="G138" s="8" t="n">
        <f aca="false">E138*F138</f>
        <v>0</v>
      </c>
      <c r="H138" s="7" t="s">
        <v>108</v>
      </c>
      <c r="I138" s="15" t="s">
        <v>139</v>
      </c>
      <c r="J138" s="7" t="s">
        <v>136</v>
      </c>
    </row>
    <row r="139" customFormat="false" ht="15" hidden="false" customHeight="false" outlineLevel="0" collapsed="false">
      <c r="A139" s="7" t="s">
        <v>41</v>
      </c>
      <c r="B139" s="7" t="s">
        <v>299</v>
      </c>
      <c r="C139" s="15" t="s">
        <v>200</v>
      </c>
      <c r="D139" s="7" t="s">
        <v>104</v>
      </c>
      <c r="E139" s="8" t="n">
        <f aca="false">SUMIFS(Structures!$N$5:$N$55,Structures!$A$5:$A$55,"THK")</f>
        <v>164</v>
      </c>
      <c r="F139" s="16"/>
      <c r="G139" s="8" t="n">
        <f aca="false">E139*F139</f>
        <v>0</v>
      </c>
      <c r="H139" s="7" t="s">
        <v>103</v>
      </c>
      <c r="I139" s="15" t="s">
        <v>201</v>
      </c>
      <c r="J139" s="7" t="s">
        <v>136</v>
      </c>
    </row>
    <row r="140" customFormat="false" ht="15" hidden="false" customHeight="false" outlineLevel="0" collapsed="false">
      <c r="A140" s="7" t="s">
        <v>41</v>
      </c>
      <c r="B140" s="7" t="s">
        <v>300</v>
      </c>
      <c r="C140" s="15" t="s">
        <v>172</v>
      </c>
      <c r="D140" s="7" t="s">
        <v>77</v>
      </c>
      <c r="E140" s="8" t="n">
        <f aca="false">SUMIFS('Take-off'!$E$5:$E$334,'Take-off'!$A$5:$A$334,"THK",'Take-off'!$C$5:$C$334,"BLINDING")</f>
        <v>392.628943621595</v>
      </c>
      <c r="F140" s="16"/>
      <c r="G140" s="8" t="n">
        <f aca="false">E140*F140</f>
        <v>0</v>
      </c>
      <c r="H140" s="7" t="s">
        <v>91</v>
      </c>
      <c r="I140" s="15" t="s">
        <v>146</v>
      </c>
      <c r="J140" s="7" t="s">
        <v>136</v>
      </c>
    </row>
    <row r="141" customFormat="false" ht="15" hidden="false" customHeight="false" outlineLevel="0" collapsed="false">
      <c r="A141" s="7" t="s">
        <v>41</v>
      </c>
      <c r="B141" s="7" t="s">
        <v>301</v>
      </c>
      <c r="C141" s="15" t="s">
        <v>148</v>
      </c>
      <c r="D141" s="7" t="s">
        <v>77</v>
      </c>
      <c r="E141" s="8" t="n">
        <f aca="false">SUMIFS('Take-off'!$E$5:$E$334,'Take-off'!$A$5:$A$334,"THK",'Take-off'!$C$5:$C$334,"RC_BASE")</f>
        <v>1230.46791680209</v>
      </c>
      <c r="F141" s="16"/>
      <c r="G141" s="8" t="n">
        <f aca="false">E141*F141</f>
        <v>0</v>
      </c>
      <c r="H141" s="7" t="s">
        <v>76</v>
      </c>
      <c r="I141" s="15" t="s">
        <v>146</v>
      </c>
      <c r="J141" s="7" t="s">
        <v>136</v>
      </c>
    </row>
    <row r="142" customFormat="false" ht="15" hidden="false" customHeight="false" outlineLevel="0" collapsed="false">
      <c r="A142" s="7" t="s">
        <v>41</v>
      </c>
      <c r="B142" s="7" t="s">
        <v>302</v>
      </c>
      <c r="C142" s="15" t="s">
        <v>150</v>
      </c>
      <c r="D142" s="7" t="s">
        <v>77</v>
      </c>
      <c r="E142" s="8" t="n">
        <f aca="false">SUMIFS('Take-off'!$E$5:$E$334,'Take-off'!$A$5:$A$334,"THK",'Take-off'!$C$5:$C$334,"RC_WALL")</f>
        <v>819.433746144887</v>
      </c>
      <c r="F142" s="16"/>
      <c r="G142" s="8" t="n">
        <f aca="false">E142*F142</f>
        <v>0</v>
      </c>
      <c r="H142" s="7" t="s">
        <v>79</v>
      </c>
      <c r="I142" s="15" t="s">
        <v>146</v>
      </c>
      <c r="J142" s="7" t="s">
        <v>136</v>
      </c>
    </row>
    <row r="143" customFormat="false" ht="15" hidden="false" customHeight="false" outlineLevel="0" collapsed="false">
      <c r="A143" s="7" t="s">
        <v>41</v>
      </c>
      <c r="B143" s="7" t="s">
        <v>303</v>
      </c>
      <c r="C143" s="15" t="s">
        <v>152</v>
      </c>
      <c r="D143" s="7" t="s">
        <v>77</v>
      </c>
      <c r="E143" s="8" t="n">
        <f aca="false">SUMIFS('Take-off'!$E$5:$E$334,'Take-off'!$A$5:$A$334,"THK",'Take-off'!$C$5:$C$334,"RC_SLAB")</f>
        <v>6.6000139978045</v>
      </c>
      <c r="F143" s="16"/>
      <c r="G143" s="8" t="n">
        <f aca="false">E143*F143</f>
        <v>0</v>
      </c>
      <c r="H143" s="7" t="s">
        <v>81</v>
      </c>
      <c r="I143" s="15" t="s">
        <v>146</v>
      </c>
      <c r="J143" s="7" t="s">
        <v>136</v>
      </c>
    </row>
    <row r="144" customFormat="false" ht="15" hidden="false" customHeight="false" outlineLevel="0" collapsed="false">
      <c r="A144" s="7" t="s">
        <v>41</v>
      </c>
      <c r="B144" s="7" t="s">
        <v>304</v>
      </c>
      <c r="C144" s="15" t="s">
        <v>178</v>
      </c>
      <c r="D144" s="7" t="s">
        <v>77</v>
      </c>
      <c r="E144" s="8" t="n">
        <f aca="false">SUMIFS('Take-off'!$E$5:$E$334,'Take-off'!$A$5:$A$334,"THK",'Take-off'!$C$5:$C$334,"RC_COLBEAM")</f>
        <v>27.5041047332159</v>
      </c>
      <c r="F144" s="16"/>
      <c r="G144" s="8" t="n">
        <f aca="false">E144*F144</f>
        <v>0</v>
      </c>
      <c r="H144" s="7" t="s">
        <v>83</v>
      </c>
      <c r="I144" s="15" t="s">
        <v>146</v>
      </c>
      <c r="J144" s="7" t="s">
        <v>136</v>
      </c>
    </row>
    <row r="145" customFormat="false" ht="23.85" hidden="false" customHeight="false" outlineLevel="0" collapsed="false">
      <c r="A145" s="7" t="s">
        <v>41</v>
      </c>
      <c r="B145" s="7" t="s">
        <v>305</v>
      </c>
      <c r="C145" s="15" t="s">
        <v>154</v>
      </c>
      <c r="D145" s="7" t="s">
        <v>77</v>
      </c>
      <c r="E145" s="8" t="n">
        <f aca="false">SUMIFS('Take-off'!$E$5:$E$334,'Take-off'!$A$5:$A$334,"THK",'Take-off'!$C$5:$C$334,"RC_MISC")</f>
        <v>146.510297209272</v>
      </c>
      <c r="F145" s="16"/>
      <c r="G145" s="8" t="n">
        <f aca="false">E145*F145</f>
        <v>0</v>
      </c>
      <c r="H145" s="7" t="s">
        <v>85</v>
      </c>
      <c r="I145" s="15" t="s">
        <v>146</v>
      </c>
      <c r="J145" s="7" t="s">
        <v>136</v>
      </c>
    </row>
    <row r="146" customFormat="false" ht="23.85" hidden="false" customHeight="false" outlineLevel="0" collapsed="false">
      <c r="A146" s="7" t="s">
        <v>41</v>
      </c>
      <c r="B146" s="7" t="s">
        <v>306</v>
      </c>
      <c r="C146" s="15" t="s">
        <v>307</v>
      </c>
      <c r="D146" s="7" t="s">
        <v>77</v>
      </c>
      <c r="E146" s="8" t="n">
        <f aca="false">SUMIFS('Take-off'!$E$5:$E$334,'Take-off'!$A$5:$A$334,"THK",'Take-off'!$C$5:$C$334,"RC_BRIDGE")</f>
        <v>21.3213971646662</v>
      </c>
      <c r="F146" s="16"/>
      <c r="G146" s="8" t="n">
        <f aca="false">E146*F146</f>
        <v>0</v>
      </c>
      <c r="H146" s="7" t="s">
        <v>89</v>
      </c>
      <c r="I146" s="15" t="s">
        <v>146</v>
      </c>
      <c r="J146" s="7" t="s">
        <v>136</v>
      </c>
    </row>
    <row r="147" customFormat="false" ht="15" hidden="false" customHeight="false" outlineLevel="0" collapsed="false">
      <c r="A147" s="7" t="s">
        <v>41</v>
      </c>
      <c r="B147" s="7" t="s">
        <v>308</v>
      </c>
      <c r="C147" s="15" t="s">
        <v>156</v>
      </c>
      <c r="D147" s="7" t="s">
        <v>96</v>
      </c>
      <c r="E147" s="8" t="n">
        <f aca="false">SUMIFS('Take-off'!$G$5:$G$334,'Take-off'!$A$5:$A$334,"THK",'Take-off'!$C$5:$C$334,"RC_BASE")+SUMIFS('Take-off'!$G$5:$G$334,'Take-off'!$A$5:$A$334,"THK",'Take-off'!$C$5:$C$334,"RC_WALL")+SUMIFS('Take-off'!$G$5:$G$334,'Take-off'!$A$5:$A$334,"THK",'Take-off'!$C$5:$C$334,"RC_SLAB")+SUMIFS('Take-off'!$G$5:$G$334,'Take-off'!$A$5:$A$334,"THK",'Take-off'!$C$5:$C$334,"RC_COLBEAM")+SUMIFS('Take-off'!$G$5:$G$334,'Take-off'!$A$5:$A$334,"THK",'Take-off'!$C$5:$C$334,"RC_MISC")+SUMIFS('Take-off'!$G$5:$G$334,'Take-off'!$A$5:$A$334,"THK",'Take-off'!$C$5:$C$334,"RC_BRIDGE")</f>
        <v>4923.21552117511</v>
      </c>
      <c r="F147" s="16"/>
      <c r="G147" s="8" t="n">
        <f aca="false">E147*F147</f>
        <v>0</v>
      </c>
      <c r="H147" s="7" t="s">
        <v>95</v>
      </c>
      <c r="I147" s="15" t="s">
        <v>157</v>
      </c>
      <c r="J147" s="7" t="s">
        <v>136</v>
      </c>
    </row>
    <row r="148" customFormat="false" ht="15" hidden="false" customHeight="false" outlineLevel="0" collapsed="false">
      <c r="A148" s="7" t="s">
        <v>41</v>
      </c>
      <c r="B148" s="7" t="s">
        <v>309</v>
      </c>
      <c r="C148" s="15" t="s">
        <v>159</v>
      </c>
      <c r="D148" s="7" t="s">
        <v>99</v>
      </c>
      <c r="E148" s="17" t="n">
        <f aca="false">(SUMIFS('Take-off'!$E$5:$E$334,'Take-off'!$A$5:$A$334,"THK",'Take-off'!$C$5:$C$334,"RC_BASE")*RR_BASE+SUMIFS('Take-off'!$E$5:$E$334,'Take-off'!$A$5:$A$334,"THK",'Take-off'!$C$5:$C$334,"RC_WALL")*RR_WALL+SUMIFS('Take-off'!$E$5:$E$334,'Take-off'!$A$5:$A$334,"THK",'Take-off'!$C$5:$C$334,"RC_SLAB")*RR_SLAB+SUMIFS('Take-off'!$E$5:$E$334,'Take-off'!$A$5:$A$334,"THK",'Take-off'!$C$5:$C$334,"RC_COLBEAM")*RR_COLBEAM+SUMIFS('Take-off'!$E$5:$E$334,'Take-off'!$A$5:$A$334,"THK",'Take-off'!$C$5:$C$334,"RC_MISC")*RR_MISC+SUMIFS('Take-off'!$E$5:$E$334,'Take-off'!$A$5:$A$334,"THK",'Take-off'!$C$5:$C$334,"RC_BRIDGE")*RR_BRIDGE)/1000</f>
        <v>275.50015029994</v>
      </c>
      <c r="F148" s="16"/>
      <c r="G148" s="8" t="n">
        <f aca="false">E148*F148</f>
        <v>0</v>
      </c>
      <c r="H148" s="7" t="s">
        <v>98</v>
      </c>
      <c r="I148" s="15" t="s">
        <v>160</v>
      </c>
      <c r="J148" s="7" t="s">
        <v>143</v>
      </c>
    </row>
    <row r="149" customFormat="false" ht="15" hidden="false" customHeight="false" outlineLevel="0" collapsed="false">
      <c r="A149" s="7" t="s">
        <v>41</v>
      </c>
      <c r="B149" s="7" t="s">
        <v>310</v>
      </c>
      <c r="C149" s="15" t="s">
        <v>311</v>
      </c>
      <c r="D149" s="7" t="s">
        <v>96</v>
      </c>
      <c r="E149" s="8" t="n">
        <f aca="false">SUMIFS('Take-off'!$F$5:$F$334,'Take-off'!$A$5:$A$334,"THK",'Take-off'!$C$5:$C$334,"GRATING")</f>
        <v>141.479869842529</v>
      </c>
      <c r="F149" s="16"/>
      <c r="G149" s="8" t="n">
        <f aca="false">E149*F149</f>
        <v>0</v>
      </c>
      <c r="H149" s="7" t="s">
        <v>312</v>
      </c>
      <c r="I149" s="15" t="s">
        <v>313</v>
      </c>
      <c r="J149" s="7" t="s">
        <v>136</v>
      </c>
    </row>
    <row r="150" customFormat="false" ht="15" hidden="false" customHeight="false" outlineLevel="0" collapsed="false">
      <c r="A150" s="7" t="s">
        <v>41</v>
      </c>
      <c r="B150" s="7" t="s">
        <v>314</v>
      </c>
      <c r="C150" s="15" t="s">
        <v>162</v>
      </c>
      <c r="D150" s="7" t="s">
        <v>113</v>
      </c>
      <c r="E150" s="8" t="n">
        <f aca="false">SUMIFS('Take-off'!$H$5:$H$334,'Take-off'!$A$5:$A$334,"THK",'Take-off'!$C$5:$C$334,"HANDRAIL")/RAILS_PER_RUN</f>
        <v>71.4478797912598</v>
      </c>
      <c r="F150" s="16"/>
      <c r="G150" s="8" t="n">
        <f aca="false">E150*F150</f>
        <v>0</v>
      </c>
      <c r="H150" s="7" t="s">
        <v>117</v>
      </c>
      <c r="I150" s="15" t="s">
        <v>163</v>
      </c>
      <c r="J150" s="7" t="s">
        <v>143</v>
      </c>
    </row>
    <row r="151" customFormat="false" ht="15" hidden="false" customHeight="false" outlineLevel="0" collapsed="false">
      <c r="A151" s="7" t="s">
        <v>41</v>
      </c>
      <c r="B151" s="7" t="s">
        <v>315</v>
      </c>
      <c r="C151" s="15" t="s">
        <v>165</v>
      </c>
      <c r="D151" s="7" t="s">
        <v>77</v>
      </c>
      <c r="E151" s="8" t="n">
        <f aca="false">SUMIFS('Take-off'!$E$5:$E$334,'Take-off'!$A$5:$A$334,"THK",'Take-off'!$C$5:$C$334,"STAIRS")</f>
        <v>22.7936294478804</v>
      </c>
      <c r="F151" s="16"/>
      <c r="G151" s="8" t="n">
        <f aca="false">E151*F151</f>
        <v>0</v>
      </c>
      <c r="H151" s="7" t="s">
        <v>166</v>
      </c>
      <c r="I151" s="15" t="s">
        <v>316</v>
      </c>
      <c r="J151" s="7" t="s">
        <v>143</v>
      </c>
    </row>
    <row r="152" customFormat="false" ht="15" hidden="false" customHeight="false" outlineLevel="0" collapsed="false">
      <c r="A152" s="13" t="s">
        <v>43</v>
      </c>
      <c r="B152" s="14"/>
      <c r="C152" s="13" t="s">
        <v>44</v>
      </c>
      <c r="D152" s="14"/>
      <c r="E152" s="14"/>
      <c r="F152" s="14"/>
      <c r="G152" s="14"/>
      <c r="H152" s="14"/>
      <c r="I152" s="14"/>
      <c r="J152" s="14"/>
    </row>
    <row r="153" customFormat="false" ht="23.85" hidden="false" customHeight="false" outlineLevel="0" collapsed="false">
      <c r="A153" s="7" t="s">
        <v>43</v>
      </c>
      <c r="B153" s="7" t="s">
        <v>317</v>
      </c>
      <c r="C153" s="15" t="s">
        <v>134</v>
      </c>
      <c r="D153" s="7" t="s">
        <v>77</v>
      </c>
      <c r="E153" s="8" t="n">
        <f aca="false">SUMIFS(Structures!$I$5:$I$55,Structures!$A$5:$A$55,"DIG")</f>
        <v>7410.54150427558</v>
      </c>
      <c r="F153" s="16"/>
      <c r="G153" s="8" t="n">
        <f aca="false">E153*F153</f>
        <v>0</v>
      </c>
      <c r="H153" s="7" t="s">
        <v>106</v>
      </c>
      <c r="I153" s="15" t="s">
        <v>135</v>
      </c>
      <c r="J153" s="7" t="s">
        <v>143</v>
      </c>
    </row>
    <row r="154" customFormat="false" ht="15" hidden="false" customHeight="false" outlineLevel="0" collapsed="false">
      <c r="A154" s="7" t="s">
        <v>43</v>
      </c>
      <c r="B154" s="7" t="s">
        <v>318</v>
      </c>
      <c r="C154" s="15" t="s">
        <v>138</v>
      </c>
      <c r="D154" s="7" t="s">
        <v>77</v>
      </c>
      <c r="E154" s="8" t="n">
        <f aca="false">SUMIFS(Structures!$J$5:$J$55,Structures!$A$5:$A$55,"DIG")</f>
        <v>1559.42150427558</v>
      </c>
      <c r="F154" s="16"/>
      <c r="G154" s="8" t="n">
        <f aca="false">E154*F154</f>
        <v>0</v>
      </c>
      <c r="H154" s="7" t="s">
        <v>108</v>
      </c>
      <c r="I154" s="15" t="s">
        <v>139</v>
      </c>
      <c r="J154" s="7" t="s">
        <v>143</v>
      </c>
    </row>
    <row r="155" customFormat="false" ht="23.85" hidden="false" customHeight="false" outlineLevel="0" collapsed="false">
      <c r="A155" s="7" t="s">
        <v>43</v>
      </c>
      <c r="B155" s="7" t="s">
        <v>319</v>
      </c>
      <c r="C155" s="15" t="s">
        <v>141</v>
      </c>
      <c r="D155" s="7" t="s">
        <v>104</v>
      </c>
      <c r="E155" s="8" t="n">
        <f aca="false">SUMIFS(Structures!$N$5:$N$55,Structures!$A$5:$A$55,"DIG")</f>
        <v>1064</v>
      </c>
      <c r="F155" s="16"/>
      <c r="G155" s="8" t="n">
        <f aca="false">E155*F155</f>
        <v>0</v>
      </c>
      <c r="H155" s="7" t="s">
        <v>103</v>
      </c>
      <c r="I155" s="15" t="s">
        <v>142</v>
      </c>
      <c r="J155" s="7" t="s">
        <v>143</v>
      </c>
    </row>
    <row r="156" customFormat="false" ht="15" hidden="false" customHeight="false" outlineLevel="0" collapsed="false">
      <c r="A156" s="7" t="s">
        <v>43</v>
      </c>
      <c r="B156" s="7" t="s">
        <v>320</v>
      </c>
      <c r="C156" s="15" t="s">
        <v>148</v>
      </c>
      <c r="D156" s="7" t="s">
        <v>77</v>
      </c>
      <c r="E156" s="8" t="n">
        <f aca="false">SUMIFS('Take-off'!$E$5:$E$334,'Take-off'!$A$5:$A$334,"DIG",'Take-off'!$C$5:$C$334,"RC_BASE")</f>
        <v>9975.31947101373</v>
      </c>
      <c r="F156" s="16"/>
      <c r="G156" s="8" t="n">
        <f aca="false">E156*F156</f>
        <v>0</v>
      </c>
      <c r="H156" s="7" t="s">
        <v>76</v>
      </c>
      <c r="I156" s="15" t="s">
        <v>146</v>
      </c>
      <c r="J156" s="7" t="s">
        <v>143</v>
      </c>
    </row>
    <row r="157" customFormat="false" ht="15" hidden="false" customHeight="false" outlineLevel="0" collapsed="false">
      <c r="A157" s="7" t="s">
        <v>43</v>
      </c>
      <c r="B157" s="7" t="s">
        <v>321</v>
      </c>
      <c r="C157" s="15" t="s">
        <v>150</v>
      </c>
      <c r="D157" s="7" t="s">
        <v>77</v>
      </c>
      <c r="E157" s="8" t="n">
        <f aca="false">SUMIFS('Take-off'!$E$5:$E$334,'Take-off'!$A$5:$A$334,"DIG",'Take-off'!$C$5:$C$334,"RC_WALL")</f>
        <v>9645.73743075072</v>
      </c>
      <c r="F157" s="16"/>
      <c r="G157" s="8" t="n">
        <f aca="false">E157*F157</f>
        <v>0</v>
      </c>
      <c r="H157" s="7" t="s">
        <v>79</v>
      </c>
      <c r="I157" s="15" t="s">
        <v>146</v>
      </c>
      <c r="J157" s="7" t="s">
        <v>143</v>
      </c>
    </row>
    <row r="158" customFormat="false" ht="15" hidden="false" customHeight="false" outlineLevel="0" collapsed="false">
      <c r="A158" s="7" t="s">
        <v>43</v>
      </c>
      <c r="B158" s="7" t="s">
        <v>322</v>
      </c>
      <c r="C158" s="15" t="s">
        <v>152</v>
      </c>
      <c r="D158" s="7" t="s">
        <v>77</v>
      </c>
      <c r="E158" s="8" t="n">
        <f aca="false">SUMIFS('Take-off'!$E$5:$E$334,'Take-off'!$A$5:$A$334,"DIG",'Take-off'!$C$5:$C$334,"RC_SLAB")</f>
        <v>1208.53566215183</v>
      </c>
      <c r="F158" s="16"/>
      <c r="G158" s="8" t="n">
        <f aca="false">E158*F158</f>
        <v>0</v>
      </c>
      <c r="H158" s="7" t="s">
        <v>81</v>
      </c>
      <c r="I158" s="15" t="s">
        <v>146</v>
      </c>
      <c r="J158" s="7" t="s">
        <v>143</v>
      </c>
    </row>
    <row r="159" customFormat="false" ht="23.85" hidden="false" customHeight="false" outlineLevel="0" collapsed="false">
      <c r="A159" s="7" t="s">
        <v>43</v>
      </c>
      <c r="B159" s="7" t="s">
        <v>323</v>
      </c>
      <c r="C159" s="15" t="s">
        <v>154</v>
      </c>
      <c r="D159" s="7" t="s">
        <v>77</v>
      </c>
      <c r="E159" s="8" t="n">
        <f aca="false">SUMIFS('Take-off'!$E$5:$E$334,'Take-off'!$A$5:$A$334,"DIG",'Take-off'!$C$5:$C$334,"RC_MISC")</f>
        <v>35.4369231165842</v>
      </c>
      <c r="F159" s="16"/>
      <c r="G159" s="8" t="n">
        <f aca="false">E159*F159</f>
        <v>0</v>
      </c>
      <c r="H159" s="7" t="s">
        <v>85</v>
      </c>
      <c r="I159" s="15" t="s">
        <v>146</v>
      </c>
      <c r="J159" s="7" t="s">
        <v>143</v>
      </c>
    </row>
    <row r="160" customFormat="false" ht="15" hidden="false" customHeight="false" outlineLevel="0" collapsed="false">
      <c r="A160" s="7" t="s">
        <v>43</v>
      </c>
      <c r="B160" s="7" t="s">
        <v>324</v>
      </c>
      <c r="C160" s="15" t="s">
        <v>156</v>
      </c>
      <c r="D160" s="7" t="s">
        <v>96</v>
      </c>
      <c r="E160" s="8" t="n">
        <f aca="false">SUMIFS('Take-off'!$G$5:$G$334,'Take-off'!$A$5:$A$334,"DIG",'Take-off'!$C$5:$C$334,"RC_BASE")+SUMIFS('Take-off'!$G$5:$G$334,'Take-off'!$A$5:$A$334,"DIG",'Take-off'!$C$5:$C$334,"RC_WALL")+SUMIFS('Take-off'!$G$5:$G$334,'Take-off'!$A$5:$A$334,"DIG",'Take-off'!$C$5:$C$334,"RC_SLAB")+SUMIFS('Take-off'!$G$5:$G$334,'Take-off'!$A$5:$A$334,"DIG",'Take-off'!$C$5:$C$334,"RC_MISC")</f>
        <v>36625.9391722283</v>
      </c>
      <c r="F160" s="16"/>
      <c r="G160" s="8" t="n">
        <f aca="false">E160*F160</f>
        <v>0</v>
      </c>
      <c r="H160" s="7" t="s">
        <v>95</v>
      </c>
      <c r="I160" s="15" t="s">
        <v>157</v>
      </c>
      <c r="J160" s="7" t="s">
        <v>143</v>
      </c>
    </row>
    <row r="161" customFormat="false" ht="15" hidden="false" customHeight="false" outlineLevel="0" collapsed="false">
      <c r="A161" s="7" t="s">
        <v>43</v>
      </c>
      <c r="B161" s="7" t="s">
        <v>325</v>
      </c>
      <c r="C161" s="15" t="s">
        <v>159</v>
      </c>
      <c r="D161" s="7" t="s">
        <v>99</v>
      </c>
      <c r="E161" s="17" t="n">
        <f aca="false">(SUMIFS('Take-off'!$E$5:$E$334,'Take-off'!$A$5:$A$334,"DIG",'Take-off'!$C$5:$C$334,"RC_BASE")*RR_BASE+SUMIFS('Take-off'!$E$5:$E$334,'Take-off'!$A$5:$A$334,"DIG",'Take-off'!$C$5:$C$334,"RC_WALL")*RR_WALL+SUMIFS('Take-off'!$E$5:$E$334,'Take-off'!$A$5:$A$334,"DIG",'Take-off'!$C$5:$C$334,"RC_SLAB")*RR_SLAB+SUMIFS('Take-off'!$E$5:$E$334,'Take-off'!$A$5:$A$334,"DIG",'Take-off'!$C$5:$C$334,"RC_MISC")*RR_MISC)/1000</f>
        <v>2579.47885978846</v>
      </c>
      <c r="F161" s="16"/>
      <c r="G161" s="8" t="n">
        <f aca="false">E161*F161</f>
        <v>0</v>
      </c>
      <c r="H161" s="7" t="s">
        <v>98</v>
      </c>
      <c r="I161" s="15" t="s">
        <v>160</v>
      </c>
      <c r="J161" s="7" t="s">
        <v>143</v>
      </c>
    </row>
    <row r="162" customFormat="false" ht="15" hidden="false" customHeight="false" outlineLevel="0" collapsed="false">
      <c r="A162" s="7" t="s">
        <v>43</v>
      </c>
      <c r="B162" s="7" t="s">
        <v>326</v>
      </c>
      <c r="C162" s="15" t="s">
        <v>162</v>
      </c>
      <c r="D162" s="7" t="s">
        <v>113</v>
      </c>
      <c r="E162" s="8" t="n">
        <f aca="false">SUMIFS('Take-off'!$H$5:$H$334,'Take-off'!$A$5:$A$334,"DIG",'Take-off'!$C$5:$C$334,"HANDRAIL")/RAILS_PER_RUN</f>
        <v>423.831518173218</v>
      </c>
      <c r="F162" s="16"/>
      <c r="G162" s="8" t="n">
        <f aca="false">E162*F162</f>
        <v>0</v>
      </c>
      <c r="H162" s="7" t="s">
        <v>117</v>
      </c>
      <c r="I162" s="15" t="s">
        <v>163</v>
      </c>
      <c r="J162" s="7" t="s">
        <v>143</v>
      </c>
    </row>
    <row r="163" customFormat="false" ht="15" hidden="false" customHeight="false" outlineLevel="0" collapsed="false">
      <c r="A163" s="7" t="s">
        <v>43</v>
      </c>
      <c r="B163" s="7" t="s">
        <v>327</v>
      </c>
      <c r="C163" s="15" t="s">
        <v>165</v>
      </c>
      <c r="D163" s="7" t="s">
        <v>77</v>
      </c>
      <c r="E163" s="8" t="n">
        <f aca="false">SUMIFS('Take-off'!$E$5:$E$334,'Take-off'!$A$5:$A$334,"DIG",'Take-off'!$C$5:$C$334,"STAIRS")</f>
        <v>12.8628158176596</v>
      </c>
      <c r="F163" s="16"/>
      <c r="G163" s="8" t="n">
        <f aca="false">E163*F163</f>
        <v>0</v>
      </c>
      <c r="H163" s="7" t="s">
        <v>166</v>
      </c>
      <c r="I163" s="15" t="s">
        <v>328</v>
      </c>
      <c r="J163" s="7" t="s">
        <v>143</v>
      </c>
    </row>
    <row r="164" customFormat="false" ht="15" hidden="false" customHeight="false" outlineLevel="0" collapsed="false">
      <c r="A164" s="13" t="s">
        <v>45</v>
      </c>
      <c r="B164" s="14"/>
      <c r="C164" s="13" t="s">
        <v>46</v>
      </c>
      <c r="D164" s="14"/>
      <c r="E164" s="14"/>
      <c r="F164" s="14"/>
      <c r="G164" s="14"/>
      <c r="H164" s="14"/>
      <c r="I164" s="14"/>
      <c r="J164" s="14"/>
    </row>
    <row r="165" customFormat="false" ht="23.85" hidden="false" customHeight="false" outlineLevel="0" collapsed="false">
      <c r="A165" s="7" t="s">
        <v>45</v>
      </c>
      <c r="B165" s="7" t="s">
        <v>329</v>
      </c>
      <c r="C165" s="15" t="s">
        <v>134</v>
      </c>
      <c r="D165" s="7" t="s">
        <v>77</v>
      </c>
      <c r="E165" s="8" t="n">
        <f aca="false">SUMIFS(Structures!$I$5:$I$55,Structures!$A$5:$A$55,"GHT")</f>
        <v>1860.67029859719</v>
      </c>
      <c r="F165" s="16"/>
      <c r="G165" s="8" t="n">
        <f aca="false">E165*F165</f>
        <v>0</v>
      </c>
      <c r="H165" s="7" t="s">
        <v>106</v>
      </c>
      <c r="I165" s="15" t="s">
        <v>135</v>
      </c>
      <c r="J165" s="7" t="s">
        <v>143</v>
      </c>
    </row>
    <row r="166" customFormat="false" ht="15" hidden="false" customHeight="false" outlineLevel="0" collapsed="false">
      <c r="A166" s="7" t="s">
        <v>45</v>
      </c>
      <c r="B166" s="7" t="s">
        <v>330</v>
      </c>
      <c r="C166" s="15" t="s">
        <v>138</v>
      </c>
      <c r="D166" s="7" t="s">
        <v>77</v>
      </c>
      <c r="E166" s="8" t="n">
        <f aca="false">SUMIFS(Structures!$J$5:$J$55,Structures!$A$5:$A$55,"GHT")</f>
        <v>412.990298597186</v>
      </c>
      <c r="F166" s="16"/>
      <c r="G166" s="8" t="n">
        <f aca="false">E166*F166</f>
        <v>0</v>
      </c>
      <c r="H166" s="7" t="s">
        <v>108</v>
      </c>
      <c r="I166" s="15" t="s">
        <v>139</v>
      </c>
      <c r="J166" s="7" t="s">
        <v>143</v>
      </c>
    </row>
    <row r="167" customFormat="false" ht="23.85" hidden="false" customHeight="false" outlineLevel="0" collapsed="false">
      <c r="A167" s="7" t="s">
        <v>45</v>
      </c>
      <c r="B167" s="7" t="s">
        <v>331</v>
      </c>
      <c r="C167" s="15" t="s">
        <v>141</v>
      </c>
      <c r="D167" s="7" t="s">
        <v>104</v>
      </c>
      <c r="E167" s="8" t="n">
        <f aca="false">SUMIFS(Structures!$N$5:$N$55,Structures!$A$5:$A$55,"GHT")</f>
        <v>184</v>
      </c>
      <c r="F167" s="16"/>
      <c r="G167" s="8" t="n">
        <f aca="false">E167*F167</f>
        <v>0</v>
      </c>
      <c r="H167" s="7" t="s">
        <v>103</v>
      </c>
      <c r="I167" s="15" t="s">
        <v>142</v>
      </c>
      <c r="J167" s="7" t="s">
        <v>143</v>
      </c>
    </row>
    <row r="168" customFormat="false" ht="15" hidden="false" customHeight="false" outlineLevel="0" collapsed="false">
      <c r="A168" s="7" t="s">
        <v>45</v>
      </c>
      <c r="B168" s="7" t="s">
        <v>332</v>
      </c>
      <c r="C168" s="15" t="s">
        <v>269</v>
      </c>
      <c r="D168" s="7" t="s">
        <v>77</v>
      </c>
      <c r="E168" s="8" t="n">
        <f aca="false">SUMIFS('Take-off'!$E$5:$E$334,'Take-off'!$A$5:$A$334,"GHT",'Take-off'!$C$5:$C$334,"RC_PLINTH")</f>
        <v>904.75598548137</v>
      </c>
      <c r="F168" s="16"/>
      <c r="G168" s="8" t="n">
        <f aca="false">E168*F168</f>
        <v>0</v>
      </c>
      <c r="H168" s="7" t="s">
        <v>87</v>
      </c>
      <c r="I168" s="15" t="s">
        <v>146</v>
      </c>
      <c r="J168" s="7" t="s">
        <v>143</v>
      </c>
    </row>
    <row r="169" customFormat="false" ht="15" hidden="false" customHeight="false" outlineLevel="0" collapsed="false">
      <c r="A169" s="7" t="s">
        <v>45</v>
      </c>
      <c r="B169" s="7" t="s">
        <v>333</v>
      </c>
      <c r="C169" s="15" t="s">
        <v>156</v>
      </c>
      <c r="D169" s="7" t="s">
        <v>96</v>
      </c>
      <c r="E169" s="8" t="n">
        <f aca="false">SUMIFS('Take-off'!$G$5:$G$334,'Take-off'!$A$5:$A$334,"GHT",'Take-off'!$C$5:$C$334,"RC_PLINTH")</f>
        <v>150.795499965549</v>
      </c>
      <c r="F169" s="16"/>
      <c r="G169" s="8" t="n">
        <f aca="false">E169*F169</f>
        <v>0</v>
      </c>
      <c r="H169" s="7" t="s">
        <v>95</v>
      </c>
      <c r="I169" s="15" t="s">
        <v>157</v>
      </c>
      <c r="J169" s="7" t="s">
        <v>143</v>
      </c>
    </row>
    <row r="170" customFormat="false" ht="15" hidden="false" customHeight="false" outlineLevel="0" collapsed="false">
      <c r="A170" s="7" t="s">
        <v>45</v>
      </c>
      <c r="B170" s="7" t="s">
        <v>334</v>
      </c>
      <c r="C170" s="15" t="s">
        <v>159</v>
      </c>
      <c r="D170" s="7" t="s">
        <v>99</v>
      </c>
      <c r="E170" s="17" t="n">
        <f aca="false">(SUMIFS('Take-off'!$E$5:$E$334,'Take-off'!$A$5:$A$334,"GHT",'Take-off'!$C$5:$C$334,"RC_PLINTH")*RR_PLINTH)/1000</f>
        <v>72.3804788385096</v>
      </c>
      <c r="F170" s="16"/>
      <c r="G170" s="8" t="n">
        <f aca="false">E170*F170</f>
        <v>0</v>
      </c>
      <c r="H170" s="7" t="s">
        <v>98</v>
      </c>
      <c r="I170" s="15" t="s">
        <v>160</v>
      </c>
      <c r="J170" s="7" t="s">
        <v>143</v>
      </c>
    </row>
    <row r="171" customFormat="false" ht="15" hidden="false" customHeight="false" outlineLevel="0" collapsed="false">
      <c r="A171" s="13" t="s">
        <v>47</v>
      </c>
      <c r="B171" s="14"/>
      <c r="C171" s="13" t="s">
        <v>48</v>
      </c>
      <c r="D171" s="14"/>
      <c r="E171" s="14"/>
      <c r="F171" s="14"/>
      <c r="G171" s="14"/>
      <c r="H171" s="14"/>
      <c r="I171" s="14"/>
      <c r="J171" s="14"/>
    </row>
    <row r="172" customFormat="false" ht="23.85" hidden="false" customHeight="false" outlineLevel="0" collapsed="false">
      <c r="A172" s="7" t="s">
        <v>47</v>
      </c>
      <c r="B172" s="7" t="s">
        <v>335</v>
      </c>
      <c r="C172" s="15" t="s">
        <v>134</v>
      </c>
      <c r="D172" s="7" t="s">
        <v>77</v>
      </c>
      <c r="E172" s="8" t="n">
        <f aca="false">SUMIFS(Structures!$I$5:$I$55,Structures!$A$5:$A$55,"GHB")</f>
        <v>95.3915746492965</v>
      </c>
      <c r="F172" s="16"/>
      <c r="G172" s="8" t="n">
        <f aca="false">E172*F172</f>
        <v>0</v>
      </c>
      <c r="H172" s="7" t="s">
        <v>106</v>
      </c>
      <c r="I172" s="15" t="s">
        <v>135</v>
      </c>
      <c r="J172" s="7" t="s">
        <v>143</v>
      </c>
    </row>
    <row r="173" customFormat="false" ht="15" hidden="false" customHeight="false" outlineLevel="0" collapsed="false">
      <c r="A173" s="7" t="s">
        <v>47</v>
      </c>
      <c r="B173" s="7" t="s">
        <v>336</v>
      </c>
      <c r="C173" s="15" t="s">
        <v>138</v>
      </c>
      <c r="D173" s="7" t="s">
        <v>77</v>
      </c>
      <c r="E173" s="8" t="n">
        <f aca="false">SUMIFS(Structures!$J$5:$J$55,Structures!$A$5:$A$55,"GHB")</f>
        <v>47.9515746492965</v>
      </c>
      <c r="F173" s="16"/>
      <c r="G173" s="8" t="n">
        <f aca="false">E173*F173</f>
        <v>0</v>
      </c>
      <c r="H173" s="7" t="s">
        <v>108</v>
      </c>
      <c r="I173" s="15" t="s">
        <v>139</v>
      </c>
      <c r="J173" s="7" t="s">
        <v>143</v>
      </c>
    </row>
    <row r="174" customFormat="false" ht="23.85" hidden="false" customHeight="false" outlineLevel="0" collapsed="false">
      <c r="A174" s="7" t="s">
        <v>47</v>
      </c>
      <c r="B174" s="7" t="s">
        <v>337</v>
      </c>
      <c r="C174" s="15" t="s">
        <v>141</v>
      </c>
      <c r="D174" s="7" t="s">
        <v>104</v>
      </c>
      <c r="E174" s="8" t="n">
        <f aca="false">SUMIFS(Structures!$N$5:$N$55,Structures!$A$5:$A$55,"GHB")</f>
        <v>7</v>
      </c>
      <c r="F174" s="16"/>
      <c r="G174" s="8" t="n">
        <f aca="false">E174*F174</f>
        <v>0</v>
      </c>
      <c r="H174" s="7" t="s">
        <v>103</v>
      </c>
      <c r="I174" s="15" t="s">
        <v>142</v>
      </c>
      <c r="J174" s="7" t="s">
        <v>143</v>
      </c>
    </row>
    <row r="175" customFormat="false" ht="15" hidden="false" customHeight="false" outlineLevel="0" collapsed="false">
      <c r="A175" s="7" t="s">
        <v>47</v>
      </c>
      <c r="B175" s="7" t="s">
        <v>338</v>
      </c>
      <c r="C175" s="15" t="s">
        <v>148</v>
      </c>
      <c r="D175" s="7" t="s">
        <v>77</v>
      </c>
      <c r="E175" s="8" t="n">
        <f aca="false">SUMIFS('Take-off'!$E$5:$E$334,'Take-off'!$A$5:$A$334,"GHB",'Take-off'!$C$5:$C$334,"RC_BASE")</f>
        <v>17.7840105557225</v>
      </c>
      <c r="F175" s="16"/>
      <c r="G175" s="8" t="n">
        <f aca="false">E175*F175</f>
        <v>0</v>
      </c>
      <c r="H175" s="7" t="s">
        <v>76</v>
      </c>
      <c r="I175" s="15" t="s">
        <v>146</v>
      </c>
      <c r="J175" s="7" t="s">
        <v>143</v>
      </c>
    </row>
    <row r="176" customFormat="false" ht="15" hidden="false" customHeight="false" outlineLevel="0" collapsed="false">
      <c r="A176" s="7" t="s">
        <v>47</v>
      </c>
      <c r="B176" s="7" t="s">
        <v>339</v>
      </c>
      <c r="C176" s="15" t="s">
        <v>150</v>
      </c>
      <c r="D176" s="7" t="s">
        <v>77</v>
      </c>
      <c r="E176" s="8" t="n">
        <f aca="false">SUMIFS('Take-off'!$E$5:$E$334,'Take-off'!$A$5:$A$334,"GHB",'Take-off'!$C$5:$C$334,"RC_WALL")</f>
        <v>60.526085486609</v>
      </c>
      <c r="F176" s="16"/>
      <c r="G176" s="8" t="n">
        <f aca="false">E176*F176</f>
        <v>0</v>
      </c>
      <c r="H176" s="7" t="s">
        <v>79</v>
      </c>
      <c r="I176" s="15" t="s">
        <v>146</v>
      </c>
      <c r="J176" s="7" t="s">
        <v>143</v>
      </c>
    </row>
    <row r="177" customFormat="false" ht="15" hidden="false" customHeight="false" outlineLevel="0" collapsed="false">
      <c r="A177" s="7" t="s">
        <v>47</v>
      </c>
      <c r="B177" s="7" t="s">
        <v>340</v>
      </c>
      <c r="C177" s="15" t="s">
        <v>152</v>
      </c>
      <c r="D177" s="7" t="s">
        <v>77</v>
      </c>
      <c r="E177" s="8" t="n">
        <f aca="false">SUMIFS('Take-off'!$E$5:$E$334,'Take-off'!$A$5:$A$334,"GHB",'Take-off'!$C$5:$C$334,"RC_SLAB")</f>
        <v>13.5199994360636</v>
      </c>
      <c r="F177" s="16"/>
      <c r="G177" s="8" t="n">
        <f aca="false">E177*F177</f>
        <v>0</v>
      </c>
      <c r="H177" s="7" t="s">
        <v>81</v>
      </c>
      <c r="I177" s="15" t="s">
        <v>146</v>
      </c>
      <c r="J177" s="7" t="s">
        <v>143</v>
      </c>
    </row>
    <row r="178" customFormat="false" ht="15" hidden="false" customHeight="false" outlineLevel="0" collapsed="false">
      <c r="A178" s="7" t="s">
        <v>47</v>
      </c>
      <c r="B178" s="7" t="s">
        <v>341</v>
      </c>
      <c r="C178" s="15" t="s">
        <v>269</v>
      </c>
      <c r="D178" s="7" t="s">
        <v>77</v>
      </c>
      <c r="E178" s="8" t="n">
        <f aca="false">SUMIFS('Take-off'!$E$5:$E$334,'Take-off'!$A$5:$A$334,"GHB",'Take-off'!$C$5:$C$334,"RC_PLINTH")</f>
        <v>1.43999577526863</v>
      </c>
      <c r="F178" s="16"/>
      <c r="G178" s="8" t="n">
        <f aca="false">E178*F178</f>
        <v>0</v>
      </c>
      <c r="H178" s="7" t="s">
        <v>87</v>
      </c>
      <c r="I178" s="15" t="s">
        <v>146</v>
      </c>
      <c r="J178" s="7" t="s">
        <v>143</v>
      </c>
    </row>
    <row r="179" customFormat="false" ht="15" hidden="false" customHeight="false" outlineLevel="0" collapsed="false">
      <c r="A179" s="7" t="s">
        <v>47</v>
      </c>
      <c r="B179" s="7" t="s">
        <v>342</v>
      </c>
      <c r="C179" s="15" t="s">
        <v>156</v>
      </c>
      <c r="D179" s="7" t="s">
        <v>96</v>
      </c>
      <c r="E179" s="8" t="n">
        <f aca="false">SUMIFS('Take-off'!$G$5:$G$334,'Take-off'!$A$5:$A$334,"GHB",'Take-off'!$C$5:$C$334,"RC_BASE")+SUMIFS('Take-off'!$G$5:$G$334,'Take-off'!$A$5:$A$334,"GHB",'Take-off'!$C$5:$C$334,"RC_WALL")+SUMIFS('Take-off'!$G$5:$G$334,'Take-off'!$A$5:$A$334,"GHB",'Take-off'!$C$5:$C$334,"RC_SLAB")+SUMIFS('Take-off'!$G$5:$G$334,'Take-off'!$A$5:$A$334,"GHB",'Take-off'!$C$5:$C$334,"RC_PLINTH")</f>
        <v>527.768497429788</v>
      </c>
      <c r="F179" s="16"/>
      <c r="G179" s="8" t="n">
        <f aca="false">E179*F179</f>
        <v>0</v>
      </c>
      <c r="H179" s="7" t="s">
        <v>95</v>
      </c>
      <c r="I179" s="15" t="s">
        <v>157</v>
      </c>
      <c r="J179" s="7" t="s">
        <v>143</v>
      </c>
    </row>
    <row r="180" customFormat="false" ht="15" hidden="false" customHeight="false" outlineLevel="0" collapsed="false">
      <c r="A180" s="7" t="s">
        <v>47</v>
      </c>
      <c r="B180" s="7" t="s">
        <v>343</v>
      </c>
      <c r="C180" s="15" t="s">
        <v>159</v>
      </c>
      <c r="D180" s="7" t="s">
        <v>99</v>
      </c>
      <c r="E180" s="17" t="n">
        <f aca="false">(SUMIFS('Take-off'!$E$5:$E$334,'Take-off'!$A$5:$A$334,"GHB",'Take-off'!$C$5:$C$334,"RC_BASE")*RR_BASE+SUMIFS('Take-off'!$E$5:$E$334,'Take-off'!$A$5:$A$334,"GHB",'Take-off'!$C$5:$C$334,"RC_WALL")*RR_WALL+SUMIFS('Take-off'!$E$5:$E$334,'Take-off'!$A$5:$A$334,"GHB",'Take-off'!$C$5:$C$334,"RC_SLAB")*RR_SLAB+SUMIFS('Take-off'!$E$5:$E$334,'Take-off'!$A$5:$A$334,"GHB",'Take-off'!$C$5:$C$334,"RC_PLINTH")*RR_PLINTH)/1000</f>
        <v>12.2493406862973</v>
      </c>
      <c r="F180" s="16"/>
      <c r="G180" s="8" t="n">
        <f aca="false">E180*F180</f>
        <v>0</v>
      </c>
      <c r="H180" s="7" t="s">
        <v>98</v>
      </c>
      <c r="I180" s="15" t="s">
        <v>160</v>
      </c>
      <c r="J180" s="7" t="s">
        <v>143</v>
      </c>
    </row>
    <row r="181" customFormat="false" ht="15" hidden="false" customHeight="false" outlineLevel="0" collapsed="false">
      <c r="A181" s="13" t="s">
        <v>49</v>
      </c>
      <c r="B181" s="14"/>
      <c r="C181" s="13" t="s">
        <v>50</v>
      </c>
      <c r="D181" s="14"/>
      <c r="E181" s="14"/>
      <c r="F181" s="14"/>
      <c r="G181" s="14"/>
      <c r="H181" s="14"/>
      <c r="I181" s="14"/>
      <c r="J181" s="14"/>
    </row>
    <row r="182" customFormat="false" ht="23.85" hidden="false" customHeight="false" outlineLevel="0" collapsed="false">
      <c r="A182" s="7" t="s">
        <v>49</v>
      </c>
      <c r="B182" s="7" t="s">
        <v>344</v>
      </c>
      <c r="C182" s="15" t="s">
        <v>134</v>
      </c>
      <c r="D182" s="7" t="s">
        <v>77</v>
      </c>
      <c r="E182" s="8" t="n">
        <f aca="false">SUMIFS(Structures!$I$5:$I$55,Structures!$A$5:$A$55,"DSB")</f>
        <v>1856.20413424294</v>
      </c>
      <c r="F182" s="16"/>
      <c r="G182" s="8" t="n">
        <f aca="false">E182*F182</f>
        <v>0</v>
      </c>
      <c r="H182" s="7" t="s">
        <v>106</v>
      </c>
      <c r="I182" s="15" t="s">
        <v>135</v>
      </c>
      <c r="J182" s="7" t="s">
        <v>143</v>
      </c>
    </row>
    <row r="183" customFormat="false" ht="15" hidden="false" customHeight="false" outlineLevel="0" collapsed="false">
      <c r="A183" s="7" t="s">
        <v>49</v>
      </c>
      <c r="B183" s="7" t="s">
        <v>345</v>
      </c>
      <c r="C183" s="15" t="s">
        <v>138</v>
      </c>
      <c r="D183" s="7" t="s">
        <v>77</v>
      </c>
      <c r="E183" s="8" t="n">
        <f aca="false">SUMIFS(Structures!$J$5:$J$55,Structures!$A$5:$A$55,"DSB")</f>
        <v>522.274134242939</v>
      </c>
      <c r="F183" s="16"/>
      <c r="G183" s="8" t="n">
        <f aca="false">E183*F183</f>
        <v>0</v>
      </c>
      <c r="H183" s="7" t="s">
        <v>108</v>
      </c>
      <c r="I183" s="15" t="s">
        <v>139</v>
      </c>
      <c r="J183" s="7" t="s">
        <v>143</v>
      </c>
    </row>
    <row r="184" customFormat="false" ht="23.85" hidden="false" customHeight="false" outlineLevel="0" collapsed="false">
      <c r="A184" s="7" t="s">
        <v>49</v>
      </c>
      <c r="B184" s="7" t="s">
        <v>346</v>
      </c>
      <c r="C184" s="15" t="s">
        <v>141</v>
      </c>
      <c r="D184" s="7" t="s">
        <v>104</v>
      </c>
      <c r="E184" s="8" t="n">
        <f aca="false">SUMIFS(Structures!$N$5:$N$55,Structures!$A$5:$A$55,"DSB")</f>
        <v>122</v>
      </c>
      <c r="F184" s="16"/>
      <c r="G184" s="8" t="n">
        <f aca="false">E184*F184</f>
        <v>0</v>
      </c>
      <c r="H184" s="7" t="s">
        <v>103</v>
      </c>
      <c r="I184" s="15" t="s">
        <v>142</v>
      </c>
      <c r="J184" s="7" t="s">
        <v>143</v>
      </c>
    </row>
    <row r="185" customFormat="false" ht="15" hidden="false" customHeight="false" outlineLevel="0" collapsed="false">
      <c r="A185" s="7" t="s">
        <v>49</v>
      </c>
      <c r="B185" s="7" t="s">
        <v>347</v>
      </c>
      <c r="C185" s="15" t="s">
        <v>148</v>
      </c>
      <c r="D185" s="7" t="s">
        <v>77</v>
      </c>
      <c r="E185" s="8" t="n">
        <f aca="false">SUMIFS('Take-off'!$E$5:$E$334,'Take-off'!$A$5:$A$334,"DSB",'Take-off'!$C$5:$C$334,"RC_BASE")</f>
        <v>512.93993878219</v>
      </c>
      <c r="F185" s="16"/>
      <c r="G185" s="8" t="n">
        <f aca="false">E185*F185</f>
        <v>0</v>
      </c>
      <c r="H185" s="7" t="s">
        <v>76</v>
      </c>
      <c r="I185" s="15" t="s">
        <v>146</v>
      </c>
      <c r="J185" s="7" t="s">
        <v>143</v>
      </c>
    </row>
    <row r="186" customFormat="false" ht="15" hidden="false" customHeight="false" outlineLevel="0" collapsed="false">
      <c r="A186" s="7" t="s">
        <v>49</v>
      </c>
      <c r="B186" s="7" t="s">
        <v>348</v>
      </c>
      <c r="C186" s="15" t="s">
        <v>150</v>
      </c>
      <c r="D186" s="7" t="s">
        <v>77</v>
      </c>
      <c r="E186" s="8" t="n">
        <f aca="false">SUMIFS('Take-off'!$E$5:$E$334,'Take-off'!$A$5:$A$334,"DSB",'Take-off'!$C$5:$C$334,"RC_WALL")</f>
        <v>510.064222613462</v>
      </c>
      <c r="F186" s="16"/>
      <c r="G186" s="8" t="n">
        <f aca="false">E186*F186</f>
        <v>0</v>
      </c>
      <c r="H186" s="7" t="s">
        <v>79</v>
      </c>
      <c r="I186" s="15" t="s">
        <v>146</v>
      </c>
      <c r="J186" s="7" t="s">
        <v>143</v>
      </c>
    </row>
    <row r="187" customFormat="false" ht="15" hidden="false" customHeight="false" outlineLevel="0" collapsed="false">
      <c r="A187" s="7" t="s">
        <v>49</v>
      </c>
      <c r="B187" s="7" t="s">
        <v>349</v>
      </c>
      <c r="C187" s="15" t="s">
        <v>152</v>
      </c>
      <c r="D187" s="7" t="s">
        <v>77</v>
      </c>
      <c r="E187" s="8" t="n">
        <f aca="false">SUMIFS('Take-off'!$E$5:$E$334,'Take-off'!$A$5:$A$334,"DSB",'Take-off'!$C$5:$C$334,"RC_SLAB")</f>
        <v>348.840174715213</v>
      </c>
      <c r="F187" s="16"/>
      <c r="G187" s="8" t="n">
        <f aca="false">E187*F187</f>
        <v>0</v>
      </c>
      <c r="H187" s="7" t="s">
        <v>81</v>
      </c>
      <c r="I187" s="15" t="s">
        <v>146</v>
      </c>
      <c r="J187" s="7" t="s">
        <v>143</v>
      </c>
    </row>
    <row r="188" customFormat="false" ht="15" hidden="false" customHeight="false" outlineLevel="0" collapsed="false">
      <c r="A188" s="7" t="s">
        <v>49</v>
      </c>
      <c r="B188" s="7" t="s">
        <v>350</v>
      </c>
      <c r="C188" s="15" t="s">
        <v>269</v>
      </c>
      <c r="D188" s="7" t="s">
        <v>77</v>
      </c>
      <c r="E188" s="8" t="n">
        <f aca="false">SUMIFS('Take-off'!$E$5:$E$334,'Take-off'!$A$5:$A$334,"DSB",'Take-off'!$C$5:$C$334,"RC_PLINTH")</f>
        <v>53.6640960292557</v>
      </c>
      <c r="F188" s="16"/>
      <c r="G188" s="8" t="n">
        <f aca="false">E188*F188</f>
        <v>0</v>
      </c>
      <c r="H188" s="7" t="s">
        <v>87</v>
      </c>
      <c r="I188" s="15" t="s">
        <v>146</v>
      </c>
      <c r="J188" s="7" t="s">
        <v>143</v>
      </c>
    </row>
    <row r="189" customFormat="false" ht="15" hidden="false" customHeight="false" outlineLevel="0" collapsed="false">
      <c r="A189" s="7" t="s">
        <v>49</v>
      </c>
      <c r="B189" s="7" t="s">
        <v>351</v>
      </c>
      <c r="C189" s="15" t="s">
        <v>156</v>
      </c>
      <c r="D189" s="7" t="s">
        <v>96</v>
      </c>
      <c r="E189" s="8" t="n">
        <f aca="false">SUMIFS('Take-off'!$G$5:$G$334,'Take-off'!$A$5:$A$334,"DSB",'Take-off'!$C$5:$C$334,"RC_BASE")+SUMIFS('Take-off'!$G$5:$G$334,'Take-off'!$A$5:$A$334,"DSB",'Take-off'!$C$5:$C$334,"RC_WALL")+SUMIFS('Take-off'!$G$5:$G$334,'Take-off'!$A$5:$A$334,"DSB",'Take-off'!$C$5:$C$334,"RC_SLAB")+SUMIFS('Take-off'!$G$5:$G$334,'Take-off'!$A$5:$A$334,"DSB",'Take-off'!$C$5:$C$334,"RC_PLINTH")</f>
        <v>4944.06050636619</v>
      </c>
      <c r="F189" s="16"/>
      <c r="G189" s="8" t="n">
        <f aca="false">E189*F189</f>
        <v>0</v>
      </c>
      <c r="H189" s="7" t="s">
        <v>95</v>
      </c>
      <c r="I189" s="15" t="s">
        <v>157</v>
      </c>
      <c r="J189" s="7" t="s">
        <v>143</v>
      </c>
    </row>
    <row r="190" customFormat="false" ht="15" hidden="false" customHeight="false" outlineLevel="0" collapsed="false">
      <c r="A190" s="7" t="s">
        <v>49</v>
      </c>
      <c r="B190" s="7" t="s">
        <v>352</v>
      </c>
      <c r="C190" s="15" t="s">
        <v>159</v>
      </c>
      <c r="D190" s="7" t="s">
        <v>99</v>
      </c>
      <c r="E190" s="17" t="n">
        <f aca="false">(SUMIFS('Take-off'!$E$5:$E$334,'Take-off'!$A$5:$A$334,"DSB",'Take-off'!$C$5:$C$334,"RC_BASE")*RR_BASE+SUMIFS('Take-off'!$E$5:$E$334,'Take-off'!$A$5:$A$334,"DSB",'Take-off'!$C$5:$C$334,"RC_WALL")*RR_WALL+SUMIFS('Take-off'!$E$5:$E$334,'Take-off'!$A$5:$A$334,"DSB",'Take-off'!$C$5:$C$334,"RC_SLAB")*RR_SLAB+SUMIFS('Take-off'!$E$5:$E$334,'Take-off'!$A$5:$A$334,"DSB",'Take-off'!$C$5:$C$334,"RC_PLINTH")*RR_PLINTH)/1000</f>
        <v>175.935915010897</v>
      </c>
      <c r="F190" s="16"/>
      <c r="G190" s="8" t="n">
        <f aca="false">E190*F190</f>
        <v>0</v>
      </c>
      <c r="H190" s="7" t="s">
        <v>98</v>
      </c>
      <c r="I190" s="15" t="s">
        <v>160</v>
      </c>
      <c r="J190" s="7" t="s">
        <v>143</v>
      </c>
    </row>
    <row r="191" customFormat="false" ht="15" hidden="false" customHeight="false" outlineLevel="0" collapsed="false">
      <c r="A191" s="13" t="s">
        <v>51</v>
      </c>
      <c r="B191" s="14"/>
      <c r="C191" s="13" t="s">
        <v>52</v>
      </c>
      <c r="D191" s="14"/>
      <c r="E191" s="14"/>
      <c r="F191" s="14"/>
      <c r="G191" s="14"/>
      <c r="H191" s="14"/>
      <c r="I191" s="14"/>
      <c r="J191" s="14"/>
    </row>
    <row r="192" customFormat="false" ht="23.85" hidden="false" customHeight="false" outlineLevel="0" collapsed="false">
      <c r="A192" s="7" t="s">
        <v>51</v>
      </c>
      <c r="B192" s="7" t="s">
        <v>353</v>
      </c>
      <c r="C192" s="15" t="s">
        <v>134</v>
      </c>
      <c r="D192" s="7" t="s">
        <v>77</v>
      </c>
      <c r="E192" s="8" t="n">
        <f aca="false">SUMIFS(Structures!$I$5:$I$55,Structures!$A$5:$A$55,"GPS")</f>
        <v>437.083740705249</v>
      </c>
      <c r="F192" s="16"/>
      <c r="G192" s="8" t="n">
        <f aca="false">E192*F192</f>
        <v>0</v>
      </c>
      <c r="H192" s="7" t="s">
        <v>106</v>
      </c>
      <c r="I192" s="15" t="s">
        <v>135</v>
      </c>
      <c r="J192" s="7" t="s">
        <v>143</v>
      </c>
    </row>
    <row r="193" customFormat="false" ht="15" hidden="false" customHeight="false" outlineLevel="0" collapsed="false">
      <c r="A193" s="7" t="s">
        <v>51</v>
      </c>
      <c r="B193" s="7" t="s">
        <v>354</v>
      </c>
      <c r="C193" s="15" t="s">
        <v>138</v>
      </c>
      <c r="D193" s="7" t="s">
        <v>77</v>
      </c>
      <c r="E193" s="8" t="n">
        <f aca="false">SUMIFS(Structures!$J$5:$J$55,Structures!$A$5:$A$55,"GPS")</f>
        <v>359.643740705249</v>
      </c>
      <c r="F193" s="16"/>
      <c r="G193" s="8" t="n">
        <f aca="false">E193*F193</f>
        <v>0</v>
      </c>
      <c r="H193" s="7" t="s">
        <v>108</v>
      </c>
      <c r="I193" s="15" t="s">
        <v>139</v>
      </c>
      <c r="J193" s="7" t="s">
        <v>143</v>
      </c>
    </row>
    <row r="194" customFormat="false" ht="23.85" hidden="false" customHeight="false" outlineLevel="0" collapsed="false">
      <c r="A194" s="7" t="s">
        <v>51</v>
      </c>
      <c r="B194" s="7" t="s">
        <v>355</v>
      </c>
      <c r="C194" s="15" t="s">
        <v>141</v>
      </c>
      <c r="D194" s="7" t="s">
        <v>104</v>
      </c>
      <c r="E194" s="8" t="n">
        <f aca="false">SUMIFS(Structures!$N$5:$N$55,Structures!$A$5:$A$55,"GPS")</f>
        <v>3</v>
      </c>
      <c r="F194" s="16"/>
      <c r="G194" s="8" t="n">
        <f aca="false">E194*F194</f>
        <v>0</v>
      </c>
      <c r="H194" s="7" t="s">
        <v>103</v>
      </c>
      <c r="I194" s="15" t="s">
        <v>142</v>
      </c>
      <c r="J194" s="7" t="s">
        <v>143</v>
      </c>
    </row>
    <row r="195" customFormat="false" ht="15" hidden="false" customHeight="false" outlineLevel="0" collapsed="false">
      <c r="A195" s="7" t="s">
        <v>51</v>
      </c>
      <c r="B195" s="7" t="s">
        <v>356</v>
      </c>
      <c r="C195" s="15" t="s">
        <v>148</v>
      </c>
      <c r="D195" s="7" t="s">
        <v>77</v>
      </c>
      <c r="E195" s="8" t="n">
        <f aca="false">SUMIFS('Take-off'!$E$5:$E$334,'Take-off'!$A$5:$A$334,"GPS",'Take-off'!$C$5:$C$334,"RC_BASE")</f>
        <v>6.91200875423445</v>
      </c>
      <c r="F195" s="16"/>
      <c r="G195" s="8" t="n">
        <f aca="false">E195*F195</f>
        <v>0</v>
      </c>
      <c r="H195" s="7" t="s">
        <v>76</v>
      </c>
      <c r="I195" s="15" t="s">
        <v>146</v>
      </c>
      <c r="J195" s="7" t="s">
        <v>143</v>
      </c>
    </row>
    <row r="196" customFormat="false" ht="15" hidden="false" customHeight="false" outlineLevel="0" collapsed="false">
      <c r="A196" s="7" t="s">
        <v>51</v>
      </c>
      <c r="B196" s="7" t="s">
        <v>357</v>
      </c>
      <c r="C196" s="15" t="s">
        <v>150</v>
      </c>
      <c r="D196" s="7" t="s">
        <v>77</v>
      </c>
      <c r="E196" s="8" t="n">
        <f aca="false">SUMIFS('Take-off'!$E$5:$E$334,'Take-off'!$A$5:$A$334,"GPS",'Take-off'!$C$5:$C$334,"RC_WALL")</f>
        <v>14.6255885242109</v>
      </c>
      <c r="F196" s="16"/>
      <c r="G196" s="8" t="n">
        <f aca="false">E196*F196</f>
        <v>0</v>
      </c>
      <c r="H196" s="7" t="s">
        <v>79</v>
      </c>
      <c r="I196" s="15" t="s">
        <v>146</v>
      </c>
      <c r="J196" s="7" t="s">
        <v>143</v>
      </c>
    </row>
    <row r="197" customFormat="false" ht="15" hidden="false" customHeight="false" outlineLevel="0" collapsed="false">
      <c r="A197" s="7" t="s">
        <v>51</v>
      </c>
      <c r="B197" s="7" t="s">
        <v>358</v>
      </c>
      <c r="C197" s="15" t="s">
        <v>152</v>
      </c>
      <c r="D197" s="7" t="s">
        <v>77</v>
      </c>
      <c r="E197" s="8" t="n">
        <f aca="false">SUMIFS('Take-off'!$E$5:$E$334,'Take-off'!$A$5:$A$334,"GPS",'Take-off'!$C$5:$C$334,"RC_SLAB")</f>
        <v>1.98001518760793</v>
      </c>
      <c r="F197" s="16"/>
      <c r="G197" s="8" t="n">
        <f aca="false">E197*F197</f>
        <v>0</v>
      </c>
      <c r="H197" s="7" t="s">
        <v>81</v>
      </c>
      <c r="I197" s="15" t="s">
        <v>146</v>
      </c>
      <c r="J197" s="7" t="s">
        <v>143</v>
      </c>
    </row>
    <row r="198" customFormat="false" ht="23.85" hidden="false" customHeight="false" outlineLevel="0" collapsed="false">
      <c r="A198" s="7" t="s">
        <v>51</v>
      </c>
      <c r="B198" s="7" t="s">
        <v>359</v>
      </c>
      <c r="C198" s="15" t="s">
        <v>154</v>
      </c>
      <c r="D198" s="7" t="s">
        <v>77</v>
      </c>
      <c r="E198" s="8" t="n">
        <f aca="false">SUMIFS('Take-off'!$E$5:$E$334,'Take-off'!$A$5:$A$334,"GPS",'Take-off'!$C$5:$C$334,"RC_MISC")</f>
        <v>2.4119973237604</v>
      </c>
      <c r="F198" s="16"/>
      <c r="G198" s="8" t="n">
        <f aca="false">E198*F198</f>
        <v>0</v>
      </c>
      <c r="H198" s="7" t="s">
        <v>85</v>
      </c>
      <c r="I198" s="15" t="s">
        <v>146</v>
      </c>
      <c r="J198" s="7" t="s">
        <v>143</v>
      </c>
    </row>
    <row r="199" customFormat="false" ht="15" hidden="false" customHeight="false" outlineLevel="0" collapsed="false">
      <c r="A199" s="7" t="s">
        <v>51</v>
      </c>
      <c r="B199" s="7" t="s">
        <v>360</v>
      </c>
      <c r="C199" s="15" t="s">
        <v>156</v>
      </c>
      <c r="D199" s="7" t="s">
        <v>96</v>
      </c>
      <c r="E199" s="8" t="n">
        <f aca="false">SUMIFS('Take-off'!$G$5:$G$334,'Take-off'!$A$5:$A$334,"GPS",'Take-off'!$C$5:$C$334,"RC_BASE")+SUMIFS('Take-off'!$G$5:$G$334,'Take-off'!$A$5:$A$334,"GPS",'Take-off'!$C$5:$C$334,"RC_WALL")+SUMIFS('Take-off'!$G$5:$G$334,'Take-off'!$A$5:$A$334,"GPS",'Take-off'!$C$5:$C$334,"RC_SLAB")+SUMIFS('Take-off'!$G$5:$G$334,'Take-off'!$A$5:$A$334,"GPS",'Take-off'!$C$5:$C$334,"RC_MISC")</f>
        <v>121.602019891376</v>
      </c>
      <c r="F199" s="16"/>
      <c r="G199" s="8" t="n">
        <f aca="false">E199*F199</f>
        <v>0</v>
      </c>
      <c r="H199" s="7" t="s">
        <v>95</v>
      </c>
      <c r="I199" s="15" t="s">
        <v>157</v>
      </c>
      <c r="J199" s="7" t="s">
        <v>143</v>
      </c>
    </row>
    <row r="200" customFormat="false" ht="15" hidden="false" customHeight="false" outlineLevel="0" collapsed="false">
      <c r="A200" s="7" t="s">
        <v>51</v>
      </c>
      <c r="B200" s="7" t="s">
        <v>361</v>
      </c>
      <c r="C200" s="15" t="s">
        <v>159</v>
      </c>
      <c r="D200" s="7" t="s">
        <v>99</v>
      </c>
      <c r="E200" s="17" t="n">
        <f aca="false">(SUMIFS('Take-off'!$E$5:$E$334,'Take-off'!$A$5:$A$334,"GPS",'Take-off'!$C$5:$C$334,"RC_BASE")*RR_BASE+SUMIFS('Take-off'!$E$5:$E$334,'Take-off'!$A$5:$A$334,"GPS",'Take-off'!$C$5:$C$334,"RC_WALL")*RR_WALL+SUMIFS('Take-off'!$E$5:$E$334,'Take-off'!$A$5:$A$334,"GPS",'Take-off'!$C$5:$C$334,"RC_SLAB")*RR_SLAB+SUMIFS('Take-off'!$E$5:$E$334,'Take-off'!$A$5:$A$334,"GPS",'Take-off'!$C$5:$C$334,"RC_MISC")*RR_MISC)/1000</f>
        <v>3.3581289565705</v>
      </c>
      <c r="F200" s="16"/>
      <c r="G200" s="8" t="n">
        <f aca="false">E200*F200</f>
        <v>0</v>
      </c>
      <c r="H200" s="7" t="s">
        <v>98</v>
      </c>
      <c r="I200" s="15" t="s">
        <v>160</v>
      </c>
      <c r="J200" s="7" t="s">
        <v>143</v>
      </c>
    </row>
    <row r="201" customFormat="false" ht="15" hidden="false" customHeight="false" outlineLevel="0" collapsed="false">
      <c r="A201" s="13" t="s">
        <v>53</v>
      </c>
      <c r="B201" s="14"/>
      <c r="C201" s="13" t="s">
        <v>54</v>
      </c>
      <c r="D201" s="14"/>
      <c r="E201" s="14"/>
      <c r="F201" s="14"/>
      <c r="G201" s="14"/>
      <c r="H201" s="14"/>
      <c r="I201" s="14"/>
      <c r="J201" s="14"/>
    </row>
    <row r="202" customFormat="false" ht="23.85" hidden="false" customHeight="false" outlineLevel="0" collapsed="false">
      <c r="A202" s="7" t="s">
        <v>53</v>
      </c>
      <c r="B202" s="7" t="s">
        <v>362</v>
      </c>
      <c r="C202" s="15" t="s">
        <v>134</v>
      </c>
      <c r="D202" s="7" t="s">
        <v>77</v>
      </c>
      <c r="E202" s="8" t="n">
        <f aca="false">SUMIFS(Structures!$I$5:$I$55,Structures!$A$5:$A$55,"SCPS")</f>
        <v>915.33983860381</v>
      </c>
      <c r="F202" s="16"/>
      <c r="G202" s="8" t="n">
        <f aca="false">E202*F202</f>
        <v>0</v>
      </c>
      <c r="H202" s="7" t="s">
        <v>106</v>
      </c>
      <c r="I202" s="15" t="s">
        <v>135</v>
      </c>
      <c r="J202" s="7" t="s">
        <v>143</v>
      </c>
    </row>
    <row r="203" customFormat="false" ht="15" hidden="false" customHeight="false" outlineLevel="0" collapsed="false">
      <c r="A203" s="7" t="s">
        <v>53</v>
      </c>
      <c r="B203" s="7" t="s">
        <v>363</v>
      </c>
      <c r="C203" s="15" t="s">
        <v>138</v>
      </c>
      <c r="D203" s="7" t="s">
        <v>77</v>
      </c>
      <c r="E203" s="8" t="n">
        <f aca="false">SUMIFS(Structures!$J$5:$J$55,Structures!$A$5:$A$55,"SCPS")</f>
        <v>801.59983860381</v>
      </c>
      <c r="F203" s="16"/>
      <c r="G203" s="8" t="n">
        <f aca="false">E203*F203</f>
        <v>0</v>
      </c>
      <c r="H203" s="7" t="s">
        <v>108</v>
      </c>
      <c r="I203" s="15" t="s">
        <v>139</v>
      </c>
      <c r="J203" s="7" t="s">
        <v>143</v>
      </c>
    </row>
    <row r="204" customFormat="false" ht="23.85" hidden="false" customHeight="false" outlineLevel="0" collapsed="false">
      <c r="A204" s="7" t="s">
        <v>53</v>
      </c>
      <c r="B204" s="7" t="s">
        <v>364</v>
      </c>
      <c r="C204" s="15" t="s">
        <v>141</v>
      </c>
      <c r="D204" s="7" t="s">
        <v>104</v>
      </c>
      <c r="E204" s="8" t="n">
        <f aca="false">SUMIFS(Structures!$N$5:$N$55,Structures!$A$5:$A$55,"SCPS")</f>
        <v>3</v>
      </c>
      <c r="F204" s="16"/>
      <c r="G204" s="8" t="n">
        <f aca="false">E204*F204</f>
        <v>0</v>
      </c>
      <c r="H204" s="7" t="s">
        <v>103</v>
      </c>
      <c r="I204" s="15" t="s">
        <v>142</v>
      </c>
      <c r="J204" s="7" t="s">
        <v>143</v>
      </c>
    </row>
    <row r="205" customFormat="false" ht="15" hidden="false" customHeight="false" outlineLevel="0" collapsed="false">
      <c r="A205" s="7" t="s">
        <v>53</v>
      </c>
      <c r="B205" s="7" t="s">
        <v>365</v>
      </c>
      <c r="C205" s="15" t="s">
        <v>148</v>
      </c>
      <c r="D205" s="7" t="s">
        <v>77</v>
      </c>
      <c r="E205" s="8" t="n">
        <f aca="false">SUMIFS('Take-off'!$E$5:$E$334,'Take-off'!$A$5:$A$334,"SCPS",'Take-off'!$C$5:$C$334,"RC_BASE")</f>
        <v>6.91200653598608</v>
      </c>
      <c r="F205" s="16"/>
      <c r="G205" s="8" t="n">
        <f aca="false">E205*F205</f>
        <v>0</v>
      </c>
      <c r="H205" s="7" t="s">
        <v>76</v>
      </c>
      <c r="I205" s="15" t="s">
        <v>146</v>
      </c>
      <c r="J205" s="7" t="s">
        <v>143</v>
      </c>
    </row>
    <row r="206" customFormat="false" ht="15" hidden="false" customHeight="false" outlineLevel="0" collapsed="false">
      <c r="A206" s="7" t="s">
        <v>53</v>
      </c>
      <c r="B206" s="7" t="s">
        <v>366</v>
      </c>
      <c r="C206" s="15" t="s">
        <v>150</v>
      </c>
      <c r="D206" s="7" t="s">
        <v>77</v>
      </c>
      <c r="E206" s="8" t="n">
        <f aca="false">SUMIFS('Take-off'!$E$5:$E$334,'Take-off'!$A$5:$A$334,"SCPS",'Take-off'!$C$5:$C$334,"RC_WALL")</f>
        <v>20.5656259900757</v>
      </c>
      <c r="F206" s="16"/>
      <c r="G206" s="8" t="n">
        <f aca="false">E206*F206</f>
        <v>0</v>
      </c>
      <c r="H206" s="7" t="s">
        <v>79</v>
      </c>
      <c r="I206" s="15" t="s">
        <v>146</v>
      </c>
      <c r="J206" s="7" t="s">
        <v>143</v>
      </c>
    </row>
    <row r="207" customFormat="false" ht="15" hidden="false" customHeight="false" outlineLevel="0" collapsed="false">
      <c r="A207" s="7" t="s">
        <v>53</v>
      </c>
      <c r="B207" s="7" t="s">
        <v>367</v>
      </c>
      <c r="C207" s="15" t="s">
        <v>152</v>
      </c>
      <c r="D207" s="7" t="s">
        <v>77</v>
      </c>
      <c r="E207" s="8" t="n">
        <f aca="false">SUMIFS('Take-off'!$E$5:$E$334,'Take-off'!$A$5:$A$334,"SCPS",'Take-off'!$C$5:$C$334,"RC_SLAB")</f>
        <v>2.95199950005668</v>
      </c>
      <c r="F207" s="16"/>
      <c r="G207" s="8" t="n">
        <f aca="false">E207*F207</f>
        <v>0</v>
      </c>
      <c r="H207" s="7" t="s">
        <v>81</v>
      </c>
      <c r="I207" s="15" t="s">
        <v>146</v>
      </c>
      <c r="J207" s="7" t="s">
        <v>143</v>
      </c>
    </row>
    <row r="208" customFormat="false" ht="23.85" hidden="false" customHeight="false" outlineLevel="0" collapsed="false">
      <c r="A208" s="7" t="s">
        <v>53</v>
      </c>
      <c r="B208" s="7" t="s">
        <v>368</v>
      </c>
      <c r="C208" s="15" t="s">
        <v>154</v>
      </c>
      <c r="D208" s="7" t="s">
        <v>77</v>
      </c>
      <c r="E208" s="8" t="n">
        <f aca="false">SUMIFS('Take-off'!$E$5:$E$334,'Take-off'!$A$5:$A$334,"SCPS",'Take-off'!$C$5:$C$334,"RC_MISC")</f>
        <v>1.49001304551514</v>
      </c>
      <c r="F208" s="16"/>
      <c r="G208" s="8" t="n">
        <f aca="false">E208*F208</f>
        <v>0</v>
      </c>
      <c r="H208" s="7" t="s">
        <v>85</v>
      </c>
      <c r="I208" s="15" t="s">
        <v>146</v>
      </c>
      <c r="J208" s="7" t="s">
        <v>143</v>
      </c>
    </row>
    <row r="209" customFormat="false" ht="15" hidden="false" customHeight="false" outlineLevel="0" collapsed="false">
      <c r="A209" s="7" t="s">
        <v>53</v>
      </c>
      <c r="B209" s="7" t="s">
        <v>369</v>
      </c>
      <c r="C209" s="15" t="s">
        <v>156</v>
      </c>
      <c r="D209" s="7" t="s">
        <v>96</v>
      </c>
      <c r="E209" s="8" t="n">
        <f aca="false">SUMIFS('Take-off'!$G$5:$G$334,'Take-off'!$A$5:$A$334,"SCPS",'Take-off'!$C$5:$C$334,"RC_BASE")+SUMIFS('Take-off'!$G$5:$G$334,'Take-off'!$A$5:$A$334,"SCPS",'Take-off'!$C$5:$C$334,"RC_WALL")+SUMIFS('Take-off'!$G$5:$G$334,'Take-off'!$A$5:$A$334,"SCPS",'Take-off'!$C$5:$C$334,"RC_SLAB")+SUMIFS('Take-off'!$G$5:$G$334,'Take-off'!$A$5:$A$334,"SCPS",'Take-off'!$C$5:$C$334,"RC_MISC")</f>
        <v>170.469951165316</v>
      </c>
      <c r="F209" s="16"/>
      <c r="G209" s="8" t="n">
        <f aca="false">E209*F209</f>
        <v>0</v>
      </c>
      <c r="H209" s="7" t="s">
        <v>95</v>
      </c>
      <c r="I209" s="15" t="s">
        <v>157</v>
      </c>
      <c r="J209" s="7" t="s">
        <v>143</v>
      </c>
    </row>
    <row r="210" customFormat="false" ht="15" hidden="false" customHeight="false" outlineLevel="0" collapsed="false">
      <c r="A210" s="7" t="s">
        <v>53</v>
      </c>
      <c r="B210" s="7" t="s">
        <v>370</v>
      </c>
      <c r="C210" s="15" t="s">
        <v>159</v>
      </c>
      <c r="D210" s="7" t="s">
        <v>99</v>
      </c>
      <c r="E210" s="17" t="n">
        <f aca="false">(SUMIFS('Take-off'!$E$5:$E$334,'Take-off'!$A$5:$A$334,"SCPS",'Take-off'!$C$5:$C$334,"RC_BASE")*RR_BASE+SUMIFS('Take-off'!$E$5:$E$334,'Take-off'!$A$5:$A$334,"SCPS",'Take-off'!$C$5:$C$334,"RC_WALL")*RR_WALL+SUMIFS('Take-off'!$E$5:$E$334,'Take-off'!$A$5:$A$334,"SCPS",'Take-off'!$C$5:$C$334,"RC_SLAB")*RR_SLAB+SUMIFS('Take-off'!$E$5:$E$334,'Take-off'!$A$5:$A$334,"SCPS",'Take-off'!$C$5:$C$334,"RC_MISC")*RR_MISC)/1000</f>
        <v>4.19623396888544</v>
      </c>
      <c r="F210" s="16"/>
      <c r="G210" s="8" t="n">
        <f aca="false">E210*F210</f>
        <v>0</v>
      </c>
      <c r="H210" s="7" t="s">
        <v>98</v>
      </c>
      <c r="I210" s="15" t="s">
        <v>160</v>
      </c>
      <c r="J210" s="7" t="s">
        <v>143</v>
      </c>
    </row>
    <row r="211" customFormat="false" ht="15" hidden="false" customHeight="false" outlineLevel="0" collapsed="false">
      <c r="A211" s="13" t="s">
        <v>55</v>
      </c>
      <c r="B211" s="14"/>
      <c r="C211" s="13" t="s">
        <v>56</v>
      </c>
      <c r="D211" s="14"/>
      <c r="E211" s="14"/>
      <c r="F211" s="14"/>
      <c r="G211" s="14"/>
      <c r="H211" s="14"/>
      <c r="I211" s="14"/>
      <c r="J211" s="14"/>
    </row>
    <row r="212" customFormat="false" ht="23.85" hidden="false" customHeight="false" outlineLevel="0" collapsed="false">
      <c r="A212" s="7" t="s">
        <v>55</v>
      </c>
      <c r="B212" s="7" t="s">
        <v>371</v>
      </c>
      <c r="C212" s="15" t="s">
        <v>134</v>
      </c>
      <c r="D212" s="7" t="s">
        <v>77</v>
      </c>
      <c r="E212" s="8" t="n">
        <f aca="false">SUMIFS(Structures!$I$5:$I$55,Structures!$A$5:$A$55,"WPD")</f>
        <v>0</v>
      </c>
      <c r="F212" s="16"/>
      <c r="G212" s="8" t="n">
        <f aca="false">E212*F212</f>
        <v>0</v>
      </c>
      <c r="H212" s="7" t="s">
        <v>106</v>
      </c>
      <c r="I212" s="15" t="s">
        <v>135</v>
      </c>
      <c r="J212" s="7" t="s">
        <v>143</v>
      </c>
    </row>
    <row r="213" customFormat="false" ht="15" hidden="false" customHeight="false" outlineLevel="0" collapsed="false">
      <c r="A213" s="7" t="s">
        <v>55</v>
      </c>
      <c r="B213" s="7" t="s">
        <v>372</v>
      </c>
      <c r="C213" s="15" t="s">
        <v>138</v>
      </c>
      <c r="D213" s="7" t="s">
        <v>77</v>
      </c>
      <c r="E213" s="8" t="n">
        <f aca="false">SUMIFS(Structures!$J$5:$J$55,Structures!$A$5:$A$55,"WPD")</f>
        <v>0</v>
      </c>
      <c r="F213" s="16"/>
      <c r="G213" s="8" t="n">
        <f aca="false">E213*F213</f>
        <v>0</v>
      </c>
      <c r="H213" s="7" t="s">
        <v>108</v>
      </c>
      <c r="I213" s="15" t="s">
        <v>139</v>
      </c>
      <c r="J213" s="7" t="s">
        <v>143</v>
      </c>
    </row>
    <row r="214" customFormat="false" ht="23.85" hidden="false" customHeight="false" outlineLevel="0" collapsed="false">
      <c r="A214" s="7" t="s">
        <v>55</v>
      </c>
      <c r="B214" s="7" t="s">
        <v>373</v>
      </c>
      <c r="C214" s="15" t="s">
        <v>141</v>
      </c>
      <c r="D214" s="7" t="s">
        <v>104</v>
      </c>
      <c r="E214" s="8" t="n">
        <f aca="false">SUMIFS(Structures!$N$5:$N$55,Structures!$A$5:$A$55,"WPD")</f>
        <v>225</v>
      </c>
      <c r="F214" s="16"/>
      <c r="G214" s="8" t="n">
        <f aca="false">E214*F214</f>
        <v>0</v>
      </c>
      <c r="H214" s="7" t="s">
        <v>103</v>
      </c>
      <c r="I214" s="15" t="s">
        <v>142</v>
      </c>
      <c r="J214" s="7" t="s">
        <v>143</v>
      </c>
    </row>
    <row r="215" customFormat="false" ht="15" hidden="false" customHeight="false" outlineLevel="0" collapsed="false">
      <c r="A215" s="7" t="s">
        <v>55</v>
      </c>
      <c r="B215" s="7" t="s">
        <v>374</v>
      </c>
      <c r="C215" s="15" t="s">
        <v>172</v>
      </c>
      <c r="D215" s="7" t="s">
        <v>77</v>
      </c>
      <c r="E215" s="8" t="n">
        <f aca="false">SUMIFS('Take-off'!$E$5:$E$334,'Take-off'!$A$5:$A$334,"WPD",'Take-off'!$C$5:$C$334,"BLINDING")</f>
        <v>383.539885195063</v>
      </c>
      <c r="F215" s="16"/>
      <c r="G215" s="8" t="n">
        <f aca="false">E215*F215</f>
        <v>0</v>
      </c>
      <c r="H215" s="7" t="s">
        <v>91</v>
      </c>
      <c r="I215" s="15" t="s">
        <v>146</v>
      </c>
      <c r="J215" s="7" t="s">
        <v>143</v>
      </c>
    </row>
    <row r="216" customFormat="false" ht="15" hidden="false" customHeight="false" outlineLevel="0" collapsed="false">
      <c r="A216" s="7" t="s">
        <v>55</v>
      </c>
      <c r="B216" s="7" t="s">
        <v>375</v>
      </c>
      <c r="C216" s="15" t="s">
        <v>148</v>
      </c>
      <c r="D216" s="7" t="s">
        <v>77</v>
      </c>
      <c r="E216" s="8" t="n">
        <f aca="false">SUMIFS('Take-off'!$E$5:$E$334,'Take-off'!$A$5:$A$334,"WPD",'Take-off'!$C$5:$C$334,"RC_BASE")</f>
        <v>558.552241707435</v>
      </c>
      <c r="F216" s="16"/>
      <c r="G216" s="8" t="n">
        <f aca="false">E216*F216</f>
        <v>0</v>
      </c>
      <c r="H216" s="7" t="s">
        <v>76</v>
      </c>
      <c r="I216" s="15" t="s">
        <v>146</v>
      </c>
      <c r="J216" s="7" t="s">
        <v>143</v>
      </c>
    </row>
    <row r="217" customFormat="false" ht="15" hidden="false" customHeight="false" outlineLevel="0" collapsed="false">
      <c r="A217" s="7" t="s">
        <v>55</v>
      </c>
      <c r="B217" s="7" t="s">
        <v>376</v>
      </c>
      <c r="C217" s="15" t="s">
        <v>150</v>
      </c>
      <c r="D217" s="7" t="s">
        <v>77</v>
      </c>
      <c r="E217" s="8" t="n">
        <f aca="false">SUMIFS('Take-off'!$E$5:$E$334,'Take-off'!$A$5:$A$334,"WPD",'Take-off'!$C$5:$C$334,"RC_WALL")</f>
        <v>460.103219409673</v>
      </c>
      <c r="F217" s="16"/>
      <c r="G217" s="8" t="n">
        <f aca="false">E217*F217</f>
        <v>0</v>
      </c>
      <c r="H217" s="7" t="s">
        <v>79</v>
      </c>
      <c r="I217" s="15" t="s">
        <v>146</v>
      </c>
      <c r="J217" s="7" t="s">
        <v>143</v>
      </c>
    </row>
    <row r="218" customFormat="false" ht="15" hidden="false" customHeight="false" outlineLevel="0" collapsed="false">
      <c r="A218" s="7" t="s">
        <v>55</v>
      </c>
      <c r="B218" s="7" t="s">
        <v>377</v>
      </c>
      <c r="C218" s="15" t="s">
        <v>152</v>
      </c>
      <c r="D218" s="7" t="s">
        <v>77</v>
      </c>
      <c r="E218" s="8" t="n">
        <f aca="false">SUMIFS('Take-off'!$E$5:$E$334,'Take-off'!$A$5:$A$334,"WPD",'Take-off'!$C$5:$C$334,"RC_SLAB")</f>
        <v>387.295691104863</v>
      </c>
      <c r="F218" s="16"/>
      <c r="G218" s="8" t="n">
        <f aca="false">E218*F218</f>
        <v>0</v>
      </c>
      <c r="H218" s="7" t="s">
        <v>81</v>
      </c>
      <c r="I218" s="15" t="s">
        <v>146</v>
      </c>
      <c r="J218" s="7" t="s">
        <v>143</v>
      </c>
    </row>
    <row r="219" customFormat="false" ht="23.85" hidden="false" customHeight="false" outlineLevel="0" collapsed="false">
      <c r="A219" s="7" t="s">
        <v>55</v>
      </c>
      <c r="B219" s="7" t="s">
        <v>378</v>
      </c>
      <c r="C219" s="15" t="s">
        <v>154</v>
      </c>
      <c r="D219" s="7" t="s">
        <v>77</v>
      </c>
      <c r="E219" s="8" t="n">
        <f aca="false">SUMIFS('Take-off'!$E$5:$E$334,'Take-off'!$A$5:$A$334,"WPD",'Take-off'!$C$5:$C$334,"RC_MISC")</f>
        <v>17.1870734676877</v>
      </c>
      <c r="F219" s="16"/>
      <c r="G219" s="8" t="n">
        <f aca="false">E219*F219</f>
        <v>0</v>
      </c>
      <c r="H219" s="7" t="s">
        <v>85</v>
      </c>
      <c r="I219" s="15" t="s">
        <v>146</v>
      </c>
      <c r="J219" s="7" t="s">
        <v>143</v>
      </c>
    </row>
    <row r="220" customFormat="false" ht="15" hidden="false" customHeight="false" outlineLevel="0" collapsed="false">
      <c r="A220" s="7" t="s">
        <v>55</v>
      </c>
      <c r="B220" s="7" t="s">
        <v>379</v>
      </c>
      <c r="C220" s="15" t="s">
        <v>269</v>
      </c>
      <c r="D220" s="7" t="s">
        <v>77</v>
      </c>
      <c r="E220" s="8" t="n">
        <f aca="false">SUMIFS('Take-off'!$E$5:$E$334,'Take-off'!$A$5:$A$334,"WPD",'Take-off'!$C$5:$C$334,"RC_PLINTH")</f>
        <v>115.955919423815</v>
      </c>
      <c r="F220" s="16"/>
      <c r="G220" s="8" t="n">
        <f aca="false">E220*F220</f>
        <v>0</v>
      </c>
      <c r="H220" s="7" t="s">
        <v>87</v>
      </c>
      <c r="I220" s="15" t="s">
        <v>146</v>
      </c>
      <c r="J220" s="7" t="s">
        <v>143</v>
      </c>
    </row>
    <row r="221" customFormat="false" ht="15" hidden="false" customHeight="false" outlineLevel="0" collapsed="false">
      <c r="A221" s="7" t="s">
        <v>55</v>
      </c>
      <c r="B221" s="7" t="s">
        <v>380</v>
      </c>
      <c r="C221" s="15" t="s">
        <v>156</v>
      </c>
      <c r="D221" s="7" t="s">
        <v>96</v>
      </c>
      <c r="E221" s="8" t="n">
        <f aca="false">SUMIFS('Take-off'!$G$5:$G$334,'Take-off'!$A$5:$A$334,"WPD",'Take-off'!$C$5:$C$334,"RC_BASE")+SUMIFS('Take-off'!$G$5:$G$334,'Take-off'!$A$5:$A$334,"WPD",'Take-off'!$C$5:$C$334,"RC_WALL")+SUMIFS('Take-off'!$G$5:$G$334,'Take-off'!$A$5:$A$334,"WPD",'Take-off'!$C$5:$C$334,"RC_SLAB")+SUMIFS('Take-off'!$G$5:$G$334,'Take-off'!$A$5:$A$334,"WPD",'Take-off'!$C$5:$C$334,"RC_MISC")+SUMIFS('Take-off'!$G$5:$G$334,'Take-off'!$A$5:$A$334,"WPD",'Take-off'!$C$5:$C$334,"RC_PLINTH")</f>
        <v>5496.141565267</v>
      </c>
      <c r="F221" s="16"/>
      <c r="G221" s="8" t="n">
        <f aca="false">E221*F221</f>
        <v>0</v>
      </c>
      <c r="H221" s="7" t="s">
        <v>95</v>
      </c>
      <c r="I221" s="15" t="s">
        <v>157</v>
      </c>
      <c r="J221" s="7" t="s">
        <v>143</v>
      </c>
    </row>
    <row r="222" customFormat="false" ht="15" hidden="false" customHeight="false" outlineLevel="0" collapsed="false">
      <c r="A222" s="7" t="s">
        <v>55</v>
      </c>
      <c r="B222" s="7" t="s">
        <v>381</v>
      </c>
      <c r="C222" s="15" t="s">
        <v>159</v>
      </c>
      <c r="D222" s="7" t="s">
        <v>99</v>
      </c>
      <c r="E222" s="17" t="n">
        <f aca="false">(SUMIFS('Take-off'!$E$5:$E$334,'Take-off'!$A$5:$A$334,"WPD",'Take-off'!$C$5:$C$334,"RC_BASE")*RR_BASE+SUMIFS('Take-off'!$E$5:$E$334,'Take-off'!$A$5:$A$334,"WPD",'Take-off'!$C$5:$C$334,"RC_WALL")*RR_WALL+SUMIFS('Take-off'!$E$5:$E$334,'Take-off'!$A$5:$A$334,"WPD",'Take-off'!$C$5:$C$334,"RC_SLAB")*RR_SLAB+SUMIFS('Take-off'!$E$5:$E$334,'Take-off'!$A$5:$A$334,"WPD",'Take-off'!$C$5:$C$334,"RC_MISC")*RR_MISC+SUMIFS('Take-off'!$E$5:$E$334,'Take-off'!$A$5:$A$334,"WPD",'Take-off'!$C$5:$C$334,"RC_PLINTH")*RR_PLINTH)/1000</f>
        <v>186.038773528387</v>
      </c>
      <c r="F222" s="16"/>
      <c r="G222" s="8" t="n">
        <f aca="false">E222*F222</f>
        <v>0</v>
      </c>
      <c r="H222" s="7" t="s">
        <v>98</v>
      </c>
      <c r="I222" s="15" t="s">
        <v>160</v>
      </c>
      <c r="J222" s="7" t="s">
        <v>143</v>
      </c>
    </row>
    <row r="223" customFormat="false" ht="15" hidden="false" customHeight="false" outlineLevel="0" collapsed="false">
      <c r="A223" s="13" t="s">
        <v>57</v>
      </c>
      <c r="B223" s="14"/>
      <c r="C223" s="13" t="s">
        <v>58</v>
      </c>
      <c r="D223" s="14"/>
      <c r="E223" s="14"/>
      <c r="F223" s="14"/>
      <c r="G223" s="14"/>
      <c r="H223" s="14"/>
      <c r="I223" s="14"/>
      <c r="J223" s="14"/>
    </row>
    <row r="224" customFormat="false" ht="23.85" hidden="false" customHeight="false" outlineLevel="0" collapsed="false">
      <c r="A224" s="7" t="s">
        <v>57</v>
      </c>
      <c r="B224" s="7" t="s">
        <v>382</v>
      </c>
      <c r="C224" s="15" t="s">
        <v>134</v>
      </c>
      <c r="D224" s="7" t="s">
        <v>77</v>
      </c>
      <c r="E224" s="8" t="n">
        <f aca="false">SUMIFS(Structures!$I$5:$I$55,Structures!$A$5:$A$55,"THP")</f>
        <v>0</v>
      </c>
      <c r="F224" s="16"/>
      <c r="G224" s="8" t="n">
        <f aca="false">E224*F224</f>
        <v>0</v>
      </c>
      <c r="H224" s="7" t="s">
        <v>106</v>
      </c>
      <c r="I224" s="15" t="s">
        <v>135</v>
      </c>
      <c r="J224" s="7" t="s">
        <v>143</v>
      </c>
    </row>
    <row r="225" customFormat="false" ht="15" hidden="false" customHeight="false" outlineLevel="0" collapsed="false">
      <c r="A225" s="7" t="s">
        <v>57</v>
      </c>
      <c r="B225" s="7" t="s">
        <v>383</v>
      </c>
      <c r="C225" s="15" t="s">
        <v>138</v>
      </c>
      <c r="D225" s="7" t="s">
        <v>77</v>
      </c>
      <c r="E225" s="8" t="n">
        <f aca="false">SUMIFS(Structures!$J$5:$J$55,Structures!$A$5:$A$55,"THP")</f>
        <v>0</v>
      </c>
      <c r="F225" s="16"/>
      <c r="G225" s="8" t="n">
        <f aca="false">E225*F225</f>
        <v>0</v>
      </c>
      <c r="H225" s="7" t="s">
        <v>108</v>
      </c>
      <c r="I225" s="15" t="s">
        <v>139</v>
      </c>
      <c r="J225" s="7" t="s">
        <v>143</v>
      </c>
    </row>
    <row r="226" customFormat="false" ht="23.85" hidden="false" customHeight="false" outlineLevel="0" collapsed="false">
      <c r="A226" s="7" t="s">
        <v>57</v>
      </c>
      <c r="B226" s="7" t="s">
        <v>384</v>
      </c>
      <c r="C226" s="15" t="s">
        <v>141</v>
      </c>
      <c r="D226" s="7" t="s">
        <v>104</v>
      </c>
      <c r="E226" s="8" t="n">
        <f aca="false">SUMIFS(Structures!$N$5:$N$55,Structures!$A$5:$A$55,"THP")</f>
        <v>124</v>
      </c>
      <c r="F226" s="16"/>
      <c r="G226" s="8" t="n">
        <f aca="false">E226*F226</f>
        <v>0</v>
      </c>
      <c r="H226" s="7" t="s">
        <v>103</v>
      </c>
      <c r="I226" s="15" t="s">
        <v>142</v>
      </c>
      <c r="J226" s="7" t="s">
        <v>143</v>
      </c>
    </row>
    <row r="227" customFormat="false" ht="15" hidden="false" customHeight="false" outlineLevel="0" collapsed="false">
      <c r="A227" s="7" t="s">
        <v>57</v>
      </c>
      <c r="B227" s="7" t="s">
        <v>385</v>
      </c>
      <c r="C227" s="15" t="s">
        <v>269</v>
      </c>
      <c r="D227" s="7" t="s">
        <v>77</v>
      </c>
      <c r="E227" s="8" t="n">
        <f aca="false">SUMIFS('Take-off'!$E$5:$E$334,'Take-off'!$A$5:$A$334,"THP",'Take-off'!$C$5:$C$334,"RC_PLINTH")</f>
        <v>615.999976357096</v>
      </c>
      <c r="F227" s="16"/>
      <c r="G227" s="8" t="n">
        <f aca="false">E227*F227</f>
        <v>0</v>
      </c>
      <c r="H227" s="7" t="s">
        <v>87</v>
      </c>
      <c r="I227" s="15" t="s">
        <v>146</v>
      </c>
      <c r="J227" s="7" t="s">
        <v>143</v>
      </c>
    </row>
    <row r="228" customFormat="false" ht="15" hidden="false" customHeight="false" outlineLevel="0" collapsed="false">
      <c r="A228" s="7" t="s">
        <v>57</v>
      </c>
      <c r="B228" s="7" t="s">
        <v>386</v>
      </c>
      <c r="C228" s="15" t="s">
        <v>156</v>
      </c>
      <c r="D228" s="7" t="s">
        <v>96</v>
      </c>
      <c r="E228" s="8" t="n">
        <f aca="false">SUMIFS('Take-off'!$G$5:$G$334,'Take-off'!$A$5:$A$334,"THP",'Take-off'!$C$5:$C$334,"RC_PLINTH")</f>
        <v>70.8000001907349</v>
      </c>
      <c r="F228" s="16"/>
      <c r="G228" s="8" t="n">
        <f aca="false">E228*F228</f>
        <v>0</v>
      </c>
      <c r="H228" s="7" t="s">
        <v>95</v>
      </c>
      <c r="I228" s="15" t="s">
        <v>157</v>
      </c>
      <c r="J228" s="7" t="s">
        <v>143</v>
      </c>
    </row>
    <row r="229" customFormat="false" ht="15" hidden="false" customHeight="false" outlineLevel="0" collapsed="false">
      <c r="A229" s="7" t="s">
        <v>57</v>
      </c>
      <c r="B229" s="7" t="s">
        <v>387</v>
      </c>
      <c r="C229" s="15" t="s">
        <v>159</v>
      </c>
      <c r="D229" s="7" t="s">
        <v>99</v>
      </c>
      <c r="E229" s="17" t="n">
        <f aca="false">(SUMIFS('Take-off'!$E$5:$E$334,'Take-off'!$A$5:$A$334,"THP",'Take-off'!$C$5:$C$334,"RC_PLINTH")*RR_PLINTH)/1000</f>
        <v>49.2799981085677</v>
      </c>
      <c r="F229" s="16"/>
      <c r="G229" s="8" t="n">
        <f aca="false">E229*F229</f>
        <v>0</v>
      </c>
      <c r="H229" s="7" t="s">
        <v>98</v>
      </c>
      <c r="I229" s="15" t="s">
        <v>160</v>
      </c>
      <c r="J229" s="7" t="s">
        <v>143</v>
      </c>
    </row>
    <row r="230" customFormat="false" ht="15" hidden="false" customHeight="false" outlineLevel="0" collapsed="false">
      <c r="A230" s="13" t="s">
        <v>59</v>
      </c>
      <c r="B230" s="14"/>
      <c r="C230" s="13" t="s">
        <v>60</v>
      </c>
      <c r="D230" s="14"/>
      <c r="E230" s="14"/>
      <c r="F230" s="14"/>
      <c r="G230" s="14"/>
      <c r="H230" s="14"/>
      <c r="I230" s="14"/>
      <c r="J230" s="14"/>
    </row>
    <row r="231" customFormat="false" ht="23.85" hidden="false" customHeight="false" outlineLevel="0" collapsed="false">
      <c r="A231" s="7" t="s">
        <v>59</v>
      </c>
      <c r="B231" s="7" t="s">
        <v>388</v>
      </c>
      <c r="C231" s="15" t="s">
        <v>134</v>
      </c>
      <c r="D231" s="7" t="s">
        <v>77</v>
      </c>
      <c r="E231" s="8" t="n">
        <f aca="false">SUMIFS(Structures!$I$5:$I$55,Structures!$A$5:$A$55,"FDW")</f>
        <v>501.205917883165</v>
      </c>
      <c r="F231" s="16"/>
      <c r="G231" s="8" t="n">
        <f aca="false">E231*F231</f>
        <v>0</v>
      </c>
      <c r="H231" s="7" t="s">
        <v>106</v>
      </c>
      <c r="I231" s="15" t="s">
        <v>135</v>
      </c>
      <c r="J231" s="7" t="s">
        <v>143</v>
      </c>
    </row>
    <row r="232" customFormat="false" ht="15" hidden="false" customHeight="false" outlineLevel="0" collapsed="false">
      <c r="A232" s="7" t="s">
        <v>59</v>
      </c>
      <c r="B232" s="7" t="s">
        <v>389</v>
      </c>
      <c r="C232" s="15" t="s">
        <v>138</v>
      </c>
      <c r="D232" s="7" t="s">
        <v>77</v>
      </c>
      <c r="E232" s="8" t="n">
        <f aca="false">SUMIFS(Structures!$J$5:$J$55,Structures!$A$5:$A$55,"FDW")</f>
        <v>82.1059178831651</v>
      </c>
      <c r="F232" s="16"/>
      <c r="G232" s="8" t="n">
        <f aca="false">E232*F232</f>
        <v>0</v>
      </c>
      <c r="H232" s="7" t="s">
        <v>108</v>
      </c>
      <c r="I232" s="15" t="s">
        <v>139</v>
      </c>
      <c r="J232" s="7" t="s">
        <v>143</v>
      </c>
    </row>
    <row r="233" customFormat="false" ht="23.85" hidden="false" customHeight="false" outlineLevel="0" collapsed="false">
      <c r="A233" s="7" t="s">
        <v>59</v>
      </c>
      <c r="B233" s="7" t="s">
        <v>390</v>
      </c>
      <c r="C233" s="15" t="s">
        <v>141</v>
      </c>
      <c r="D233" s="7" t="s">
        <v>104</v>
      </c>
      <c r="E233" s="8" t="n">
        <f aca="false">SUMIFS(Structures!$N$5:$N$55,Structures!$A$5:$A$55,"FDW")</f>
        <v>172</v>
      </c>
      <c r="F233" s="16"/>
      <c r="G233" s="8" t="n">
        <f aca="false">E233*F233</f>
        <v>0</v>
      </c>
      <c r="H233" s="7" t="s">
        <v>103</v>
      </c>
      <c r="I233" s="15" t="s">
        <v>142</v>
      </c>
      <c r="J233" s="7" t="s">
        <v>143</v>
      </c>
    </row>
    <row r="234" customFormat="false" ht="15" hidden="false" customHeight="false" outlineLevel="0" collapsed="false">
      <c r="A234" s="7" t="s">
        <v>59</v>
      </c>
      <c r="B234" s="7" t="s">
        <v>391</v>
      </c>
      <c r="C234" s="15" t="s">
        <v>148</v>
      </c>
      <c r="D234" s="7" t="s">
        <v>77</v>
      </c>
      <c r="E234" s="8" t="n">
        <f aca="false">SUMIFS('Take-off'!$E$5:$E$334,'Take-off'!$A$5:$A$334,"FDW",'Take-off'!$C$5:$C$334,"RC_BASE")</f>
        <v>387.755404887949</v>
      </c>
      <c r="F234" s="16"/>
      <c r="G234" s="8" t="n">
        <f aca="false">E234*F234</f>
        <v>0</v>
      </c>
      <c r="H234" s="7" t="s">
        <v>76</v>
      </c>
      <c r="I234" s="15" t="s">
        <v>146</v>
      </c>
      <c r="J234" s="7" t="s">
        <v>143</v>
      </c>
    </row>
    <row r="235" customFormat="false" ht="15" hidden="false" customHeight="false" outlineLevel="0" collapsed="false">
      <c r="A235" s="7" t="s">
        <v>59</v>
      </c>
      <c r="B235" s="7" t="s">
        <v>392</v>
      </c>
      <c r="C235" s="15" t="s">
        <v>150</v>
      </c>
      <c r="D235" s="7" t="s">
        <v>77</v>
      </c>
      <c r="E235" s="8" t="n">
        <f aca="false">SUMIFS('Take-off'!$E$5:$E$334,'Take-off'!$A$5:$A$334,"FDW",'Take-off'!$C$5:$C$334,"RC_WALL")</f>
        <v>282.444068223758</v>
      </c>
      <c r="F235" s="16"/>
      <c r="G235" s="8" t="n">
        <f aca="false">E235*F235</f>
        <v>0</v>
      </c>
      <c r="H235" s="7" t="s">
        <v>79</v>
      </c>
      <c r="I235" s="15" t="s">
        <v>146</v>
      </c>
      <c r="J235" s="7" t="s">
        <v>143</v>
      </c>
    </row>
    <row r="236" customFormat="false" ht="15" hidden="false" customHeight="false" outlineLevel="0" collapsed="false">
      <c r="A236" s="7" t="s">
        <v>59</v>
      </c>
      <c r="B236" s="7" t="s">
        <v>393</v>
      </c>
      <c r="C236" s="15" t="s">
        <v>152</v>
      </c>
      <c r="D236" s="7" t="s">
        <v>77</v>
      </c>
      <c r="E236" s="8" t="n">
        <f aca="false">SUMIFS('Take-off'!$E$5:$E$334,'Take-off'!$A$5:$A$334,"FDW",'Take-off'!$C$5:$C$334,"RC_SLAB")</f>
        <v>161.433660336466</v>
      </c>
      <c r="F236" s="16"/>
      <c r="G236" s="8" t="n">
        <f aca="false">E236*F236</f>
        <v>0</v>
      </c>
      <c r="H236" s="7" t="s">
        <v>81</v>
      </c>
      <c r="I236" s="15" t="s">
        <v>146</v>
      </c>
      <c r="J236" s="7" t="s">
        <v>143</v>
      </c>
    </row>
    <row r="237" customFormat="false" ht="15" hidden="false" customHeight="false" outlineLevel="0" collapsed="false">
      <c r="A237" s="7" t="s">
        <v>59</v>
      </c>
      <c r="B237" s="7" t="s">
        <v>394</v>
      </c>
      <c r="C237" s="15" t="s">
        <v>269</v>
      </c>
      <c r="D237" s="7" t="s">
        <v>77</v>
      </c>
      <c r="E237" s="8" t="n">
        <f aca="false">SUMIFS('Take-off'!$E$5:$E$334,'Take-off'!$A$5:$A$334,"FDW",'Take-off'!$C$5:$C$334,"RC_PLINTH")</f>
        <v>47.0940186261259</v>
      </c>
      <c r="F237" s="16"/>
      <c r="G237" s="8" t="n">
        <f aca="false">E237*F237</f>
        <v>0</v>
      </c>
      <c r="H237" s="7" t="s">
        <v>87</v>
      </c>
      <c r="I237" s="15" t="s">
        <v>146</v>
      </c>
      <c r="J237" s="7" t="s">
        <v>143</v>
      </c>
    </row>
    <row r="238" customFormat="false" ht="15" hidden="false" customHeight="false" outlineLevel="0" collapsed="false">
      <c r="A238" s="7" t="s">
        <v>59</v>
      </c>
      <c r="B238" s="7" t="s">
        <v>395</v>
      </c>
      <c r="C238" s="15" t="s">
        <v>156</v>
      </c>
      <c r="D238" s="7" t="s">
        <v>96</v>
      </c>
      <c r="E238" s="8" t="n">
        <f aca="false">SUMIFS('Take-off'!$G$5:$G$334,'Take-off'!$A$5:$A$334,"FDW",'Take-off'!$C$5:$C$334,"RC_BASE")+SUMIFS('Take-off'!$G$5:$G$334,'Take-off'!$A$5:$A$334,"FDW",'Take-off'!$C$5:$C$334,"RC_WALL")+SUMIFS('Take-off'!$G$5:$G$334,'Take-off'!$A$5:$A$334,"FDW",'Take-off'!$C$5:$C$334,"RC_SLAB")+SUMIFS('Take-off'!$G$5:$G$334,'Take-off'!$A$5:$A$334,"FDW",'Take-off'!$C$5:$C$334,"RC_PLINTH")</f>
        <v>2954.01303345338</v>
      </c>
      <c r="F238" s="16"/>
      <c r="G238" s="8" t="n">
        <f aca="false">E238*F238</f>
        <v>0</v>
      </c>
      <c r="H238" s="7" t="s">
        <v>95</v>
      </c>
      <c r="I238" s="15" t="s">
        <v>157</v>
      </c>
      <c r="J238" s="7" t="s">
        <v>143</v>
      </c>
    </row>
    <row r="239" customFormat="false" ht="15" hidden="false" customHeight="false" outlineLevel="0" collapsed="false">
      <c r="A239" s="7" t="s">
        <v>59</v>
      </c>
      <c r="B239" s="7" t="s">
        <v>396</v>
      </c>
      <c r="C239" s="15" t="s">
        <v>159</v>
      </c>
      <c r="D239" s="7" t="s">
        <v>99</v>
      </c>
      <c r="E239" s="17" t="n">
        <f aca="false">(SUMIFS('Take-off'!$E$5:$E$334,'Take-off'!$A$5:$A$334,"FDW",'Take-off'!$C$5:$C$334,"RC_BASE")*RR_BASE+SUMIFS('Take-off'!$E$5:$E$334,'Take-off'!$A$5:$A$334,"FDW",'Take-off'!$C$5:$C$334,"RC_WALL")*RR_WALL+SUMIFS('Take-off'!$E$5:$E$334,'Take-off'!$A$5:$A$334,"FDW",'Take-off'!$C$5:$C$334,"RC_SLAB")*RR_SLAB+SUMIFS('Take-off'!$E$5:$E$334,'Take-off'!$A$5:$A$334,"FDW",'Take-off'!$C$5:$C$334,"RC_PLINTH")*RR_PLINTH)/1000</f>
        <v>105.785895208167</v>
      </c>
      <c r="F239" s="16"/>
      <c r="G239" s="8" t="n">
        <f aca="false">E239*F239</f>
        <v>0</v>
      </c>
      <c r="H239" s="7" t="s">
        <v>98</v>
      </c>
      <c r="I239" s="15" t="s">
        <v>160</v>
      </c>
      <c r="J239" s="7" t="s">
        <v>143</v>
      </c>
    </row>
    <row r="240" customFormat="false" ht="15" hidden="false" customHeight="false" outlineLevel="0" collapsed="false">
      <c r="A240" s="7" t="s">
        <v>59</v>
      </c>
      <c r="B240" s="7" t="s">
        <v>397</v>
      </c>
      <c r="C240" s="15" t="s">
        <v>281</v>
      </c>
      <c r="D240" s="7" t="s">
        <v>104</v>
      </c>
      <c r="E240" s="8" t="n">
        <f aca="false">SUMIFS('Take-off'!$D$5:$D$334,'Take-off'!$A$5:$A$334,"FDW",'Take-off'!$C$5:$C$334,"ARCH")</f>
        <v>2</v>
      </c>
      <c r="F240" s="18" t="s">
        <v>277</v>
      </c>
      <c r="G240" s="8" t="n">
        <v>0</v>
      </c>
      <c r="H240" s="7" t="s">
        <v>282</v>
      </c>
      <c r="I240" s="15" t="s">
        <v>279</v>
      </c>
      <c r="J240" s="7" t="s">
        <v>143</v>
      </c>
    </row>
    <row r="241" customFormat="false" ht="15" hidden="false" customHeight="false" outlineLevel="0" collapsed="false">
      <c r="A241" s="13" t="s">
        <v>61</v>
      </c>
      <c r="B241" s="14"/>
      <c r="C241" s="13" t="s">
        <v>62</v>
      </c>
      <c r="D241" s="14"/>
      <c r="E241" s="14"/>
      <c r="F241" s="14"/>
      <c r="G241" s="14"/>
      <c r="H241" s="14"/>
      <c r="I241" s="14"/>
      <c r="J241" s="14"/>
    </row>
    <row r="242" customFormat="false" ht="23.85" hidden="false" customHeight="false" outlineLevel="0" collapsed="false">
      <c r="A242" s="7" t="s">
        <v>61</v>
      </c>
      <c r="B242" s="7" t="s">
        <v>398</v>
      </c>
      <c r="C242" s="15" t="s">
        <v>134</v>
      </c>
      <c r="D242" s="7" t="s">
        <v>77</v>
      </c>
      <c r="E242" s="8" t="n">
        <f aca="false">SUMIFS(Structures!$I$5:$I$55,Structures!$A$5:$A$55,"CHP")</f>
        <v>1505.69925539511</v>
      </c>
      <c r="F242" s="16"/>
      <c r="G242" s="8" t="n">
        <f aca="false">E242*F242</f>
        <v>0</v>
      </c>
      <c r="H242" s="7" t="s">
        <v>106</v>
      </c>
      <c r="I242" s="15" t="s">
        <v>135</v>
      </c>
      <c r="J242" s="7" t="s">
        <v>143</v>
      </c>
    </row>
    <row r="243" customFormat="false" ht="15" hidden="false" customHeight="false" outlineLevel="0" collapsed="false">
      <c r="A243" s="7" t="s">
        <v>61</v>
      </c>
      <c r="B243" s="7" t="s">
        <v>399</v>
      </c>
      <c r="C243" s="15" t="s">
        <v>138</v>
      </c>
      <c r="D243" s="7" t="s">
        <v>77</v>
      </c>
      <c r="E243" s="8" t="n">
        <f aca="false">SUMIFS(Structures!$J$5:$J$55,Structures!$A$5:$A$55,"CHP")</f>
        <v>305.099255395114</v>
      </c>
      <c r="F243" s="16"/>
      <c r="G243" s="8" t="n">
        <f aca="false">E243*F243</f>
        <v>0</v>
      </c>
      <c r="H243" s="7" t="s">
        <v>108</v>
      </c>
      <c r="I243" s="15" t="s">
        <v>139</v>
      </c>
      <c r="J243" s="7" t="s">
        <v>143</v>
      </c>
    </row>
    <row r="244" customFormat="false" ht="23.85" hidden="false" customHeight="false" outlineLevel="0" collapsed="false">
      <c r="A244" s="7" t="s">
        <v>61</v>
      </c>
      <c r="B244" s="7" t="s">
        <v>400</v>
      </c>
      <c r="C244" s="15" t="s">
        <v>141</v>
      </c>
      <c r="D244" s="7" t="s">
        <v>104</v>
      </c>
      <c r="E244" s="8" t="n">
        <f aca="false">SUMIFS(Structures!$N$5:$N$55,Structures!$A$5:$A$55,"CHP")</f>
        <v>114</v>
      </c>
      <c r="F244" s="16"/>
      <c r="G244" s="8" t="n">
        <f aca="false">E244*F244</f>
        <v>0</v>
      </c>
      <c r="H244" s="7" t="s">
        <v>103</v>
      </c>
      <c r="I244" s="15" t="s">
        <v>142</v>
      </c>
      <c r="J244" s="7" t="s">
        <v>143</v>
      </c>
    </row>
    <row r="245" customFormat="false" ht="15" hidden="false" customHeight="false" outlineLevel="0" collapsed="false">
      <c r="A245" s="7" t="s">
        <v>61</v>
      </c>
      <c r="B245" s="7" t="s">
        <v>401</v>
      </c>
      <c r="C245" s="15" t="s">
        <v>148</v>
      </c>
      <c r="D245" s="7" t="s">
        <v>77</v>
      </c>
      <c r="E245" s="8" t="n">
        <f aca="false">SUMIFS('Take-off'!$E$5:$E$334,'Take-off'!$A$5:$A$334,"CHP",'Take-off'!$C$5:$C$334,"RC_BASE")</f>
        <v>400.144058600374</v>
      </c>
      <c r="F245" s="16"/>
      <c r="G245" s="8" t="n">
        <f aca="false">E245*F245</f>
        <v>0</v>
      </c>
      <c r="H245" s="7" t="s">
        <v>76</v>
      </c>
      <c r="I245" s="15" t="s">
        <v>146</v>
      </c>
      <c r="J245" s="7" t="s">
        <v>143</v>
      </c>
    </row>
    <row r="246" customFormat="false" ht="15" hidden="false" customHeight="false" outlineLevel="0" collapsed="false">
      <c r="A246" s="7" t="s">
        <v>61</v>
      </c>
      <c r="B246" s="7" t="s">
        <v>402</v>
      </c>
      <c r="C246" s="15" t="s">
        <v>150</v>
      </c>
      <c r="D246" s="7" t="s">
        <v>77</v>
      </c>
      <c r="E246" s="8" t="n">
        <f aca="false">SUMIFS('Take-off'!$E$5:$E$334,'Take-off'!$A$5:$A$334,"CHP",'Take-off'!$C$5:$C$334,"RC_WALL")</f>
        <v>373.350064724708</v>
      </c>
      <c r="F246" s="16"/>
      <c r="G246" s="8" t="n">
        <f aca="false">E246*F246</f>
        <v>0</v>
      </c>
      <c r="H246" s="7" t="s">
        <v>79</v>
      </c>
      <c r="I246" s="15" t="s">
        <v>146</v>
      </c>
      <c r="J246" s="7" t="s">
        <v>143</v>
      </c>
    </row>
    <row r="247" customFormat="false" ht="15" hidden="false" customHeight="false" outlineLevel="0" collapsed="false">
      <c r="A247" s="7" t="s">
        <v>61</v>
      </c>
      <c r="B247" s="7" t="s">
        <v>403</v>
      </c>
      <c r="C247" s="15" t="s">
        <v>152</v>
      </c>
      <c r="D247" s="7" t="s">
        <v>77</v>
      </c>
      <c r="E247" s="8" t="n">
        <f aca="false">SUMIFS('Take-off'!$E$5:$E$334,'Take-off'!$A$5:$A$334,"CHP",'Take-off'!$C$5:$C$334,"RC_SLAB")</f>
        <v>210.391776854373</v>
      </c>
      <c r="F247" s="16"/>
      <c r="G247" s="8" t="n">
        <f aca="false">E247*F247</f>
        <v>0</v>
      </c>
      <c r="H247" s="7" t="s">
        <v>81</v>
      </c>
      <c r="I247" s="15" t="s">
        <v>146</v>
      </c>
      <c r="J247" s="7" t="s">
        <v>143</v>
      </c>
    </row>
    <row r="248" customFormat="false" ht="15" hidden="false" customHeight="false" outlineLevel="0" collapsed="false">
      <c r="A248" s="7" t="s">
        <v>61</v>
      </c>
      <c r="B248" s="7" t="s">
        <v>404</v>
      </c>
      <c r="C248" s="15" t="s">
        <v>269</v>
      </c>
      <c r="D248" s="7" t="s">
        <v>77</v>
      </c>
      <c r="E248" s="8" t="n">
        <f aca="false">SUMIFS('Take-off'!$E$5:$E$334,'Take-off'!$A$5:$A$334,"CHP",'Take-off'!$C$5:$C$334,"RC_PLINTH")</f>
        <v>40.4999848778079</v>
      </c>
      <c r="F248" s="16"/>
      <c r="G248" s="8" t="n">
        <f aca="false">E248*F248</f>
        <v>0</v>
      </c>
      <c r="H248" s="7" t="s">
        <v>87</v>
      </c>
      <c r="I248" s="15" t="s">
        <v>146</v>
      </c>
      <c r="J248" s="7" t="s">
        <v>143</v>
      </c>
    </row>
    <row r="249" customFormat="false" ht="15" hidden="false" customHeight="false" outlineLevel="0" collapsed="false">
      <c r="A249" s="7" t="s">
        <v>61</v>
      </c>
      <c r="B249" s="7" t="s">
        <v>405</v>
      </c>
      <c r="C249" s="15" t="s">
        <v>156</v>
      </c>
      <c r="D249" s="7" t="s">
        <v>96</v>
      </c>
      <c r="E249" s="8" t="n">
        <f aca="false">SUMIFS('Take-off'!$G$5:$G$334,'Take-off'!$A$5:$A$334,"CHP",'Take-off'!$C$5:$C$334,"RC_BASE")+SUMIFS('Take-off'!$G$5:$G$334,'Take-off'!$A$5:$A$334,"CHP",'Take-off'!$C$5:$C$334,"RC_WALL")+SUMIFS('Take-off'!$G$5:$G$334,'Take-off'!$A$5:$A$334,"CHP",'Take-off'!$C$5:$C$334,"RC_SLAB")+SUMIFS('Take-off'!$G$5:$G$334,'Take-off'!$A$5:$A$334,"CHP",'Take-off'!$C$5:$C$334,"RC_PLINTH")</f>
        <v>3749.63937855512</v>
      </c>
      <c r="F249" s="16"/>
      <c r="G249" s="8" t="n">
        <f aca="false">E249*F249</f>
        <v>0</v>
      </c>
      <c r="H249" s="7" t="s">
        <v>95</v>
      </c>
      <c r="I249" s="15" t="s">
        <v>157</v>
      </c>
      <c r="J249" s="7" t="s">
        <v>143</v>
      </c>
    </row>
    <row r="250" customFormat="false" ht="15" hidden="false" customHeight="false" outlineLevel="0" collapsed="false">
      <c r="A250" s="7" t="s">
        <v>61</v>
      </c>
      <c r="B250" s="7" t="s">
        <v>406</v>
      </c>
      <c r="C250" s="15" t="s">
        <v>159</v>
      </c>
      <c r="D250" s="7" t="s">
        <v>99</v>
      </c>
      <c r="E250" s="17" t="n">
        <f aca="false">(SUMIFS('Take-off'!$E$5:$E$334,'Take-off'!$A$5:$A$334,"CHP",'Take-off'!$C$5:$C$334,"RC_BASE")*RR_BASE+SUMIFS('Take-off'!$E$5:$E$334,'Take-off'!$A$5:$A$334,"CHP",'Take-off'!$C$5:$C$334,"RC_WALL")*RR_WALL+SUMIFS('Take-off'!$E$5:$E$334,'Take-off'!$A$5:$A$334,"CHP",'Take-off'!$C$5:$C$334,"RC_SLAB")*RR_SLAB+SUMIFS('Take-off'!$E$5:$E$334,'Take-off'!$A$5:$A$334,"CHP",'Take-off'!$C$5:$C$334,"RC_PLINTH")*RR_PLINTH)/1000</f>
        <v>125.675353112992</v>
      </c>
      <c r="F250" s="16"/>
      <c r="G250" s="8" t="n">
        <f aca="false">E250*F250</f>
        <v>0</v>
      </c>
      <c r="H250" s="7" t="s">
        <v>98</v>
      </c>
      <c r="I250" s="15" t="s">
        <v>160</v>
      </c>
      <c r="J250" s="7" t="s">
        <v>143</v>
      </c>
    </row>
    <row r="251" customFormat="false" ht="15" hidden="false" customHeight="false" outlineLevel="0" collapsed="false">
      <c r="A251" s="13" t="s">
        <v>63</v>
      </c>
      <c r="B251" s="14"/>
      <c r="C251" s="13" t="s">
        <v>64</v>
      </c>
      <c r="D251" s="14"/>
      <c r="E251" s="14"/>
      <c r="F251" s="14"/>
      <c r="G251" s="14"/>
      <c r="H251" s="14"/>
      <c r="I251" s="14"/>
      <c r="J251" s="14"/>
    </row>
    <row r="252" customFormat="false" ht="23.85" hidden="false" customHeight="false" outlineLevel="0" collapsed="false">
      <c r="A252" s="7" t="s">
        <v>63</v>
      </c>
      <c r="B252" s="7" t="s">
        <v>407</v>
      </c>
      <c r="C252" s="15" t="s">
        <v>134</v>
      </c>
      <c r="D252" s="7" t="s">
        <v>77</v>
      </c>
      <c r="E252" s="8" t="n">
        <f aca="false">SUMIFS(Structures!$I$5:$I$55,Structures!$A$5:$A$55,"CHS")</f>
        <v>595.282909797668</v>
      </c>
      <c r="F252" s="16"/>
      <c r="G252" s="8" t="n">
        <f aca="false">E252*F252</f>
        <v>0</v>
      </c>
      <c r="H252" s="7" t="s">
        <v>106</v>
      </c>
      <c r="I252" s="15" t="s">
        <v>135</v>
      </c>
      <c r="J252" s="7" t="s">
        <v>143</v>
      </c>
    </row>
    <row r="253" customFormat="false" ht="15" hidden="false" customHeight="false" outlineLevel="0" collapsed="false">
      <c r="A253" s="7" t="s">
        <v>63</v>
      </c>
      <c r="B253" s="7" t="s">
        <v>408</v>
      </c>
      <c r="C253" s="15" t="s">
        <v>138</v>
      </c>
      <c r="D253" s="7" t="s">
        <v>77</v>
      </c>
      <c r="E253" s="8" t="n">
        <f aca="false">SUMIFS(Structures!$J$5:$J$55,Structures!$A$5:$A$55,"CHS")</f>
        <v>229.322909797667</v>
      </c>
      <c r="F253" s="16"/>
      <c r="G253" s="8" t="n">
        <f aca="false">E253*F253</f>
        <v>0</v>
      </c>
      <c r="H253" s="7" t="s">
        <v>108</v>
      </c>
      <c r="I253" s="15" t="s">
        <v>139</v>
      </c>
      <c r="J253" s="7" t="s">
        <v>143</v>
      </c>
    </row>
    <row r="254" customFormat="false" ht="23.85" hidden="false" customHeight="false" outlineLevel="0" collapsed="false">
      <c r="A254" s="7" t="s">
        <v>63</v>
      </c>
      <c r="B254" s="7" t="s">
        <v>409</v>
      </c>
      <c r="C254" s="15" t="s">
        <v>141</v>
      </c>
      <c r="D254" s="7" t="s">
        <v>104</v>
      </c>
      <c r="E254" s="8" t="n">
        <f aca="false">SUMIFS(Structures!$N$5:$N$55,Structures!$A$5:$A$55,"CHS")</f>
        <v>33</v>
      </c>
      <c r="F254" s="16"/>
      <c r="G254" s="8" t="n">
        <f aca="false">E254*F254</f>
        <v>0</v>
      </c>
      <c r="H254" s="7" t="s">
        <v>103</v>
      </c>
      <c r="I254" s="15" t="s">
        <v>142</v>
      </c>
      <c r="J254" s="7" t="s">
        <v>143</v>
      </c>
    </row>
    <row r="255" customFormat="false" ht="15" hidden="false" customHeight="false" outlineLevel="0" collapsed="false">
      <c r="A255" s="7" t="s">
        <v>63</v>
      </c>
      <c r="B255" s="7" t="s">
        <v>410</v>
      </c>
      <c r="C255" s="15" t="s">
        <v>148</v>
      </c>
      <c r="D255" s="7" t="s">
        <v>77</v>
      </c>
      <c r="E255" s="8" t="n">
        <f aca="false">SUMIFS('Take-off'!$E$5:$E$334,'Take-off'!$A$5:$A$334,"CHS",'Take-off'!$C$5:$C$334,"RC_BASE")</f>
        <v>63.2190605498174</v>
      </c>
      <c r="F255" s="16"/>
      <c r="G255" s="8" t="n">
        <f aca="false">E255*F255</f>
        <v>0</v>
      </c>
      <c r="H255" s="7" t="s">
        <v>76</v>
      </c>
      <c r="I255" s="15" t="s">
        <v>146</v>
      </c>
      <c r="J255" s="7" t="s">
        <v>143</v>
      </c>
    </row>
    <row r="256" customFormat="false" ht="15" hidden="false" customHeight="false" outlineLevel="0" collapsed="false">
      <c r="A256" s="7" t="s">
        <v>63</v>
      </c>
      <c r="B256" s="7" t="s">
        <v>411</v>
      </c>
      <c r="C256" s="15" t="s">
        <v>150</v>
      </c>
      <c r="D256" s="7" t="s">
        <v>77</v>
      </c>
      <c r="E256" s="8" t="n">
        <f aca="false">SUMIFS('Take-off'!$E$5:$E$334,'Take-off'!$A$5:$A$334,"CHS",'Take-off'!$C$5:$C$334,"RC_WALL")</f>
        <v>80.0633148018315</v>
      </c>
      <c r="F256" s="16"/>
      <c r="G256" s="8" t="n">
        <f aca="false">E256*F256</f>
        <v>0</v>
      </c>
      <c r="H256" s="7" t="s">
        <v>79</v>
      </c>
      <c r="I256" s="15" t="s">
        <v>146</v>
      </c>
      <c r="J256" s="7" t="s">
        <v>143</v>
      </c>
    </row>
    <row r="257" customFormat="false" ht="15" hidden="false" customHeight="false" outlineLevel="0" collapsed="false">
      <c r="A257" s="7" t="s">
        <v>63</v>
      </c>
      <c r="B257" s="7" t="s">
        <v>412</v>
      </c>
      <c r="C257" s="15" t="s">
        <v>152</v>
      </c>
      <c r="D257" s="7" t="s">
        <v>77</v>
      </c>
      <c r="E257" s="8" t="n">
        <f aca="false">SUMIFS('Take-off'!$E$5:$E$334,'Take-off'!$A$5:$A$334,"CHS",'Take-off'!$C$5:$C$334,"RC_SLAB")</f>
        <v>45.6049797269181</v>
      </c>
      <c r="F257" s="16"/>
      <c r="G257" s="8" t="n">
        <f aca="false">E257*F257</f>
        <v>0</v>
      </c>
      <c r="H257" s="7" t="s">
        <v>81</v>
      </c>
      <c r="I257" s="15" t="s">
        <v>146</v>
      </c>
      <c r="J257" s="7" t="s">
        <v>143</v>
      </c>
    </row>
    <row r="258" customFormat="false" ht="23.85" hidden="false" customHeight="false" outlineLevel="0" collapsed="false">
      <c r="A258" s="7" t="s">
        <v>63</v>
      </c>
      <c r="B258" s="7" t="s">
        <v>413</v>
      </c>
      <c r="C258" s="15" t="s">
        <v>154</v>
      </c>
      <c r="D258" s="7" t="s">
        <v>77</v>
      </c>
      <c r="E258" s="8" t="n">
        <f aca="false">SUMIFS('Take-off'!$E$5:$E$334,'Take-off'!$A$5:$A$334,"CHS",'Take-off'!$C$5:$C$334,"RC_MISC")</f>
        <v>26.4119545809096</v>
      </c>
      <c r="F258" s="16"/>
      <c r="G258" s="8" t="n">
        <f aca="false">E258*F258</f>
        <v>0</v>
      </c>
      <c r="H258" s="7" t="s">
        <v>85</v>
      </c>
      <c r="I258" s="15" t="s">
        <v>146</v>
      </c>
      <c r="J258" s="7" t="s">
        <v>143</v>
      </c>
    </row>
    <row r="259" customFormat="false" ht="15" hidden="false" customHeight="false" outlineLevel="0" collapsed="false">
      <c r="A259" s="7" t="s">
        <v>63</v>
      </c>
      <c r="B259" s="7" t="s">
        <v>414</v>
      </c>
      <c r="C259" s="15" t="s">
        <v>269</v>
      </c>
      <c r="D259" s="7" t="s">
        <v>77</v>
      </c>
      <c r="E259" s="8" t="n">
        <f aca="false">SUMIFS('Take-off'!$E$5:$E$334,'Take-off'!$A$5:$A$334,"CHS",'Take-off'!$C$5:$C$334,"RC_PLINTH")</f>
        <v>16.5599960645771</v>
      </c>
      <c r="F259" s="16"/>
      <c r="G259" s="8" t="n">
        <f aca="false">E259*F259</f>
        <v>0</v>
      </c>
      <c r="H259" s="7" t="s">
        <v>87</v>
      </c>
      <c r="I259" s="15" t="s">
        <v>146</v>
      </c>
      <c r="J259" s="7" t="s">
        <v>143</v>
      </c>
    </row>
    <row r="260" customFormat="false" ht="15" hidden="false" customHeight="false" outlineLevel="0" collapsed="false">
      <c r="A260" s="7" t="s">
        <v>63</v>
      </c>
      <c r="B260" s="7" t="s">
        <v>415</v>
      </c>
      <c r="C260" s="15" t="s">
        <v>156</v>
      </c>
      <c r="D260" s="7" t="s">
        <v>96</v>
      </c>
      <c r="E260" s="8" t="n">
        <f aca="false">SUMIFS('Take-off'!$G$5:$G$334,'Take-off'!$A$5:$A$334,"CHS",'Take-off'!$C$5:$C$334,"RC_BASE")+SUMIFS('Take-off'!$G$5:$G$334,'Take-off'!$A$5:$A$334,"CHS",'Take-off'!$C$5:$C$334,"RC_WALL")+SUMIFS('Take-off'!$G$5:$G$334,'Take-off'!$A$5:$A$334,"CHS",'Take-off'!$C$5:$C$334,"RC_SLAB")+SUMIFS('Take-off'!$G$5:$G$334,'Take-off'!$A$5:$A$334,"CHS",'Take-off'!$C$5:$C$334,"RC_MISC")+SUMIFS('Take-off'!$G$5:$G$334,'Take-off'!$A$5:$A$334,"CHS",'Take-off'!$C$5:$C$334,"RC_PLINTH")</f>
        <v>1519.55354187226</v>
      </c>
      <c r="F260" s="16"/>
      <c r="G260" s="8" t="n">
        <f aca="false">E260*F260</f>
        <v>0</v>
      </c>
      <c r="H260" s="7" t="s">
        <v>95</v>
      </c>
      <c r="I260" s="15" t="s">
        <v>157</v>
      </c>
      <c r="J260" s="7" t="s">
        <v>143</v>
      </c>
    </row>
    <row r="261" customFormat="false" ht="15" hidden="false" customHeight="false" outlineLevel="0" collapsed="false">
      <c r="A261" s="7" t="s">
        <v>63</v>
      </c>
      <c r="B261" s="7" t="s">
        <v>416</v>
      </c>
      <c r="C261" s="15" t="s">
        <v>159</v>
      </c>
      <c r="D261" s="7" t="s">
        <v>99</v>
      </c>
      <c r="E261" s="17" t="n">
        <f aca="false">(SUMIFS('Take-off'!$E$5:$E$334,'Take-off'!$A$5:$A$334,"CHS",'Take-off'!$C$5:$C$334,"RC_BASE")*RR_BASE+SUMIFS('Take-off'!$E$5:$E$334,'Take-off'!$A$5:$A$334,"CHS",'Take-off'!$C$5:$C$334,"RC_WALL")*RR_WALL+SUMIFS('Take-off'!$E$5:$E$334,'Take-off'!$A$5:$A$334,"CHS",'Take-off'!$C$5:$C$334,"RC_SLAB")*RR_SLAB+SUMIFS('Take-off'!$E$5:$E$334,'Take-off'!$A$5:$A$334,"CHS",'Take-off'!$C$5:$C$334,"RC_MISC")*RR_MISC+SUMIFS('Take-off'!$E$5:$E$334,'Take-off'!$A$5:$A$334,"CHS",'Take-off'!$C$5:$C$334,"RC_PLINTH")*RR_PLINTH)/1000</f>
        <v>28.6603046962706</v>
      </c>
      <c r="F261" s="16"/>
      <c r="G261" s="8" t="n">
        <f aca="false">E261*F261</f>
        <v>0</v>
      </c>
      <c r="H261" s="7" t="s">
        <v>98</v>
      </c>
      <c r="I261" s="15" t="s">
        <v>160</v>
      </c>
      <c r="J261" s="7" t="s">
        <v>143</v>
      </c>
    </row>
    <row r="262" customFormat="false" ht="15" hidden="false" customHeight="false" outlineLevel="0" collapsed="false">
      <c r="A262" s="13" t="s">
        <v>65</v>
      </c>
      <c r="B262" s="14"/>
      <c r="C262" s="13" t="s">
        <v>66</v>
      </c>
      <c r="D262" s="14"/>
      <c r="E262" s="14"/>
      <c r="F262" s="14"/>
      <c r="G262" s="14"/>
      <c r="H262" s="14"/>
      <c r="I262" s="14"/>
      <c r="J262" s="14"/>
    </row>
    <row r="263" customFormat="false" ht="23.85" hidden="false" customHeight="false" outlineLevel="0" collapsed="false">
      <c r="A263" s="7" t="s">
        <v>65</v>
      </c>
      <c r="B263" s="7" t="s">
        <v>417</v>
      </c>
      <c r="C263" s="15" t="s">
        <v>134</v>
      </c>
      <c r="D263" s="7" t="s">
        <v>77</v>
      </c>
      <c r="E263" s="8" t="n">
        <f aca="false">SUMIFS(Structures!$I$5:$I$55,Structures!$A$5:$A$55,"ABPH")</f>
        <v>0</v>
      </c>
      <c r="F263" s="16"/>
      <c r="G263" s="8" t="n">
        <f aca="false">E263*F263</f>
        <v>0</v>
      </c>
      <c r="H263" s="7" t="s">
        <v>106</v>
      </c>
      <c r="I263" s="15" t="s">
        <v>135</v>
      </c>
      <c r="J263" s="7" t="s">
        <v>143</v>
      </c>
    </row>
    <row r="264" customFormat="false" ht="15" hidden="false" customHeight="false" outlineLevel="0" collapsed="false">
      <c r="A264" s="7" t="s">
        <v>65</v>
      </c>
      <c r="B264" s="7" t="s">
        <v>418</v>
      </c>
      <c r="C264" s="15" t="s">
        <v>138</v>
      </c>
      <c r="D264" s="7" t="s">
        <v>77</v>
      </c>
      <c r="E264" s="8" t="n">
        <f aca="false">SUMIFS(Structures!$J$5:$J$55,Structures!$A$5:$A$55,"ABPH")</f>
        <v>0</v>
      </c>
      <c r="F264" s="16"/>
      <c r="G264" s="8" t="n">
        <f aca="false">E264*F264</f>
        <v>0</v>
      </c>
      <c r="H264" s="7" t="s">
        <v>108</v>
      </c>
      <c r="I264" s="15" t="s">
        <v>139</v>
      </c>
      <c r="J264" s="7" t="s">
        <v>143</v>
      </c>
    </row>
    <row r="265" customFormat="false" ht="23.85" hidden="false" customHeight="false" outlineLevel="0" collapsed="false">
      <c r="A265" s="7" t="s">
        <v>65</v>
      </c>
      <c r="B265" s="7" t="s">
        <v>419</v>
      </c>
      <c r="C265" s="15" t="s">
        <v>141</v>
      </c>
      <c r="D265" s="7" t="s">
        <v>104</v>
      </c>
      <c r="E265" s="8" t="n">
        <f aca="false">SUMIFS(Structures!$N$5:$N$55,Structures!$A$5:$A$55,"ABPH")</f>
        <v>19</v>
      </c>
      <c r="F265" s="16"/>
      <c r="G265" s="8" t="n">
        <f aca="false">E265*F265</f>
        <v>0</v>
      </c>
      <c r="H265" s="7" t="s">
        <v>103</v>
      </c>
      <c r="I265" s="15" t="s">
        <v>142</v>
      </c>
      <c r="J265" s="7" t="s">
        <v>143</v>
      </c>
    </row>
    <row r="266" customFormat="false" ht="15" hidden="false" customHeight="false" outlineLevel="0" collapsed="false">
      <c r="A266" s="7" t="s">
        <v>65</v>
      </c>
      <c r="B266" s="7" t="s">
        <v>420</v>
      </c>
      <c r="C266" s="15" t="s">
        <v>148</v>
      </c>
      <c r="D266" s="7" t="s">
        <v>77</v>
      </c>
      <c r="E266" s="8" t="n">
        <f aca="false">SUMIFS('Take-off'!$E$5:$E$334,'Take-off'!$A$5:$A$334,"ABPH",'Take-off'!$C$5:$C$334,"RC_BASE")</f>
        <v>45.2019960689281</v>
      </c>
      <c r="F266" s="16"/>
      <c r="G266" s="8" t="n">
        <f aca="false">E266*F266</f>
        <v>0</v>
      </c>
      <c r="H266" s="7" t="s">
        <v>76</v>
      </c>
      <c r="I266" s="15" t="s">
        <v>146</v>
      </c>
      <c r="J266" s="7" t="s">
        <v>143</v>
      </c>
    </row>
    <row r="267" customFormat="false" ht="15" hidden="false" customHeight="false" outlineLevel="0" collapsed="false">
      <c r="A267" s="7" t="s">
        <v>65</v>
      </c>
      <c r="B267" s="7" t="s">
        <v>421</v>
      </c>
      <c r="C267" s="15" t="s">
        <v>150</v>
      </c>
      <c r="D267" s="7" t="s">
        <v>77</v>
      </c>
      <c r="E267" s="8" t="n">
        <f aca="false">SUMIFS('Take-off'!$E$5:$E$334,'Take-off'!$A$5:$A$334,"ABPH",'Take-off'!$C$5:$C$334,"RC_WALL")</f>
        <v>73.8275677827224</v>
      </c>
      <c r="F267" s="16"/>
      <c r="G267" s="8" t="n">
        <f aca="false">E267*F267</f>
        <v>0</v>
      </c>
      <c r="H267" s="7" t="s">
        <v>79</v>
      </c>
      <c r="I267" s="15" t="s">
        <v>146</v>
      </c>
      <c r="J267" s="7" t="s">
        <v>143</v>
      </c>
    </row>
    <row r="268" customFormat="false" ht="15" hidden="false" customHeight="false" outlineLevel="0" collapsed="false">
      <c r="A268" s="7" t="s">
        <v>65</v>
      </c>
      <c r="B268" s="7" t="s">
        <v>422</v>
      </c>
      <c r="C268" s="15" t="s">
        <v>152</v>
      </c>
      <c r="D268" s="7" t="s">
        <v>77</v>
      </c>
      <c r="E268" s="8" t="n">
        <f aca="false">SUMIFS('Take-off'!$E$5:$E$334,'Take-off'!$A$5:$A$334,"ABPH",'Take-off'!$C$5:$C$334,"RC_SLAB")</f>
        <v>30.0134224173429</v>
      </c>
      <c r="F268" s="16"/>
      <c r="G268" s="8" t="n">
        <f aca="false">E268*F268</f>
        <v>0</v>
      </c>
      <c r="H268" s="7" t="s">
        <v>81</v>
      </c>
      <c r="I268" s="15" t="s">
        <v>146</v>
      </c>
      <c r="J268" s="7" t="s">
        <v>143</v>
      </c>
    </row>
    <row r="269" customFormat="false" ht="23.85" hidden="false" customHeight="false" outlineLevel="0" collapsed="false">
      <c r="A269" s="7" t="s">
        <v>65</v>
      </c>
      <c r="B269" s="7" t="s">
        <v>423</v>
      </c>
      <c r="C269" s="15" t="s">
        <v>154</v>
      </c>
      <c r="D269" s="7" t="s">
        <v>77</v>
      </c>
      <c r="E269" s="8" t="n">
        <f aca="false">SUMIFS('Take-off'!$E$5:$E$334,'Take-off'!$A$5:$A$334,"ABPH",'Take-off'!$C$5:$C$334,"RC_MISC")</f>
        <v>10.5750399249784</v>
      </c>
      <c r="F269" s="16"/>
      <c r="G269" s="8" t="n">
        <f aca="false">E269*F269</f>
        <v>0</v>
      </c>
      <c r="H269" s="7" t="s">
        <v>85</v>
      </c>
      <c r="I269" s="15" t="s">
        <v>146</v>
      </c>
      <c r="J269" s="7" t="s">
        <v>143</v>
      </c>
    </row>
    <row r="270" customFormat="false" ht="15" hidden="false" customHeight="false" outlineLevel="0" collapsed="false">
      <c r="A270" s="7" t="s">
        <v>65</v>
      </c>
      <c r="B270" s="7" t="s">
        <v>424</v>
      </c>
      <c r="C270" s="15" t="s">
        <v>156</v>
      </c>
      <c r="D270" s="7" t="s">
        <v>96</v>
      </c>
      <c r="E270" s="8" t="n">
        <f aca="false">SUMIFS('Take-off'!$G$5:$G$334,'Take-off'!$A$5:$A$334,"ABPH",'Take-off'!$C$5:$C$334,"RC_BASE")+SUMIFS('Take-off'!$G$5:$G$334,'Take-off'!$A$5:$A$334,"ABPH",'Take-off'!$C$5:$C$334,"RC_WALL")+SUMIFS('Take-off'!$G$5:$G$334,'Take-off'!$A$5:$A$334,"ABPH",'Take-off'!$C$5:$C$334,"RC_SLAB")+SUMIFS('Take-off'!$G$5:$G$334,'Take-off'!$A$5:$A$334,"ABPH",'Take-off'!$C$5:$C$334,"RC_MISC")</f>
        <v>949.736451387405</v>
      </c>
      <c r="F270" s="16"/>
      <c r="G270" s="8" t="n">
        <f aca="false">E270*F270</f>
        <v>0</v>
      </c>
      <c r="H270" s="7" t="s">
        <v>95</v>
      </c>
      <c r="I270" s="15" t="s">
        <v>157</v>
      </c>
      <c r="J270" s="7" t="s">
        <v>143</v>
      </c>
    </row>
    <row r="271" customFormat="false" ht="15" hidden="false" customHeight="false" outlineLevel="0" collapsed="false">
      <c r="A271" s="7" t="s">
        <v>65</v>
      </c>
      <c r="B271" s="7" t="s">
        <v>425</v>
      </c>
      <c r="C271" s="15" t="s">
        <v>159</v>
      </c>
      <c r="D271" s="7" t="s">
        <v>99</v>
      </c>
      <c r="E271" s="17" t="n">
        <f aca="false">(SUMIFS('Take-off'!$E$5:$E$334,'Take-off'!$A$5:$A$334,"ABPH",'Take-off'!$C$5:$C$334,"RC_BASE")*RR_BASE+SUMIFS('Take-off'!$E$5:$E$334,'Take-off'!$A$5:$A$334,"ABPH",'Take-off'!$C$5:$C$334,"RC_WALL")*RR_WALL+SUMIFS('Take-off'!$E$5:$E$334,'Take-off'!$A$5:$A$334,"ABPH",'Take-off'!$C$5:$C$334,"RC_SLAB")*RR_SLAB+SUMIFS('Take-off'!$E$5:$E$334,'Take-off'!$A$5:$A$334,"ABPH",'Take-off'!$C$5:$C$334,"RC_MISC")*RR_MISC)/1000</f>
        <v>20.4489731734582</v>
      </c>
      <c r="F271" s="16"/>
      <c r="G271" s="8" t="n">
        <f aca="false">E271*F271</f>
        <v>0</v>
      </c>
      <c r="H271" s="7" t="s">
        <v>98</v>
      </c>
      <c r="I271" s="15" t="s">
        <v>160</v>
      </c>
      <c r="J271" s="7" t="s">
        <v>143</v>
      </c>
    </row>
    <row r="272" customFormat="false" ht="15" hidden="false" customHeight="false" outlineLevel="0" collapsed="false">
      <c r="A272" s="13" t="s">
        <v>67</v>
      </c>
      <c r="B272" s="14"/>
      <c r="C272" s="13" t="s">
        <v>68</v>
      </c>
      <c r="D272" s="14"/>
      <c r="E272" s="14"/>
      <c r="F272" s="14"/>
      <c r="G272" s="14"/>
      <c r="H272" s="14"/>
      <c r="I272" s="14"/>
      <c r="J272" s="14"/>
    </row>
    <row r="273" customFormat="false" ht="15" hidden="false" customHeight="false" outlineLevel="0" collapsed="false">
      <c r="A273" s="7" t="s">
        <v>67</v>
      </c>
      <c r="B273" s="7" t="s">
        <v>426</v>
      </c>
      <c r="C273" s="15" t="s">
        <v>427</v>
      </c>
      <c r="D273" s="7" t="s">
        <v>113</v>
      </c>
      <c r="E273" s="8" t="n">
        <f aca="false">SUMIFS(Pipes!$E$5:$E$49,Pipes!$B$5:$B$49,"GRP",Pipes!$C$5:$C$49,"DN2600")</f>
        <v>776.639166201513</v>
      </c>
      <c r="F273" s="16"/>
      <c r="G273" s="8" t="n">
        <f aca="false">E273*F273</f>
        <v>0</v>
      </c>
      <c r="H273" s="7" t="s">
        <v>112</v>
      </c>
      <c r="I273" s="15" t="s">
        <v>428</v>
      </c>
      <c r="J273" s="7" t="s">
        <v>197</v>
      </c>
    </row>
    <row r="274" customFormat="false" ht="15" hidden="false" customHeight="false" outlineLevel="0" collapsed="false">
      <c r="A274" s="7" t="s">
        <v>67</v>
      </c>
      <c r="B274" s="7" t="s">
        <v>429</v>
      </c>
      <c r="C274" s="15" t="s">
        <v>430</v>
      </c>
      <c r="D274" s="7" t="s">
        <v>113</v>
      </c>
      <c r="E274" s="8" t="n">
        <f aca="false">SUMIFS(Pipes!$E$5:$E$49,Pipes!$B$5:$B$49,"GRP",Pipes!$C$5:$C$49,"DN2500")</f>
        <v>324.28766728873</v>
      </c>
      <c r="F274" s="16"/>
      <c r="G274" s="8" t="n">
        <f aca="false">E274*F274</f>
        <v>0</v>
      </c>
      <c r="H274" s="7" t="s">
        <v>112</v>
      </c>
      <c r="I274" s="15" t="s">
        <v>428</v>
      </c>
      <c r="J274" s="7" t="s">
        <v>197</v>
      </c>
    </row>
    <row r="275" customFormat="false" ht="15" hidden="false" customHeight="false" outlineLevel="0" collapsed="false">
      <c r="A275" s="7" t="s">
        <v>67</v>
      </c>
      <c r="B275" s="7" t="s">
        <v>431</v>
      </c>
      <c r="C275" s="15" t="s">
        <v>432</v>
      </c>
      <c r="D275" s="7" t="s">
        <v>113</v>
      </c>
      <c r="E275" s="8" t="n">
        <f aca="false">SUMIFS(Pipes!$E$5:$E$49,Pipes!$B$5:$B$49,"GRP",Pipes!$C$5:$C$49,"DN2400")</f>
        <v>990.932604154333</v>
      </c>
      <c r="F275" s="16"/>
      <c r="G275" s="8" t="n">
        <f aca="false">E275*F275</f>
        <v>0</v>
      </c>
      <c r="H275" s="7" t="s">
        <v>112</v>
      </c>
      <c r="I275" s="15" t="s">
        <v>428</v>
      </c>
      <c r="J275" s="7" t="s">
        <v>197</v>
      </c>
    </row>
    <row r="276" customFormat="false" ht="15" hidden="false" customHeight="false" outlineLevel="0" collapsed="false">
      <c r="A276" s="7" t="s">
        <v>67</v>
      </c>
      <c r="B276" s="7" t="s">
        <v>433</v>
      </c>
      <c r="C276" s="15" t="s">
        <v>434</v>
      </c>
      <c r="D276" s="7" t="s">
        <v>113</v>
      </c>
      <c r="E276" s="8" t="n">
        <f aca="false">SUMIFS(Pipes!$E$5:$E$49,Pipes!$B$5:$B$49,"GRP",Pipes!$C$5:$C$49,"DN2200")</f>
        <v>1373.97760801198</v>
      </c>
      <c r="F276" s="16"/>
      <c r="G276" s="8" t="n">
        <f aca="false">E276*F276</f>
        <v>0</v>
      </c>
      <c r="H276" s="7" t="s">
        <v>112</v>
      </c>
      <c r="I276" s="15" t="s">
        <v>428</v>
      </c>
      <c r="J276" s="7" t="s">
        <v>197</v>
      </c>
    </row>
    <row r="277" customFormat="false" ht="15" hidden="false" customHeight="false" outlineLevel="0" collapsed="false">
      <c r="A277" s="7" t="s">
        <v>67</v>
      </c>
      <c r="B277" s="7" t="s">
        <v>435</v>
      </c>
      <c r="C277" s="15" t="s">
        <v>436</v>
      </c>
      <c r="D277" s="7" t="s">
        <v>113</v>
      </c>
      <c r="E277" s="8" t="n">
        <f aca="false">SUMIFS(Pipes!$E$5:$E$49,Pipes!$B$5:$B$49,"GRP",Pipes!$C$5:$C$49,"DN2000")</f>
        <v>1446.55134902981</v>
      </c>
      <c r="F277" s="16"/>
      <c r="G277" s="8" t="n">
        <f aca="false">E277*F277</f>
        <v>0</v>
      </c>
      <c r="H277" s="7" t="s">
        <v>112</v>
      </c>
      <c r="I277" s="15" t="s">
        <v>428</v>
      </c>
      <c r="J277" s="7" t="s">
        <v>197</v>
      </c>
    </row>
    <row r="278" customFormat="false" ht="15" hidden="false" customHeight="false" outlineLevel="0" collapsed="false">
      <c r="A278" s="7" t="s">
        <v>67</v>
      </c>
      <c r="B278" s="7" t="s">
        <v>437</v>
      </c>
      <c r="C278" s="15" t="s">
        <v>438</v>
      </c>
      <c r="D278" s="7" t="s">
        <v>113</v>
      </c>
      <c r="E278" s="8" t="n">
        <f aca="false">SUMIFS(Pipes!$E$5:$E$49,Pipes!$B$5:$B$49,"GRP",Pipes!$C$5:$C$49,"DN1800")</f>
        <v>224.970074597938</v>
      </c>
      <c r="F278" s="16"/>
      <c r="G278" s="8" t="n">
        <f aca="false">E278*F278</f>
        <v>0</v>
      </c>
      <c r="H278" s="7" t="s">
        <v>112</v>
      </c>
      <c r="I278" s="15" t="s">
        <v>428</v>
      </c>
      <c r="J278" s="7" t="s">
        <v>197</v>
      </c>
    </row>
    <row r="279" customFormat="false" ht="15" hidden="false" customHeight="false" outlineLevel="0" collapsed="false">
      <c r="A279" s="7" t="s">
        <v>67</v>
      </c>
      <c r="B279" s="7" t="s">
        <v>439</v>
      </c>
      <c r="C279" s="15" t="s">
        <v>440</v>
      </c>
      <c r="D279" s="7" t="s">
        <v>113</v>
      </c>
      <c r="E279" s="8" t="n">
        <f aca="false">SUMIFS(Pipes!$E$5:$E$49,Pipes!$B$5:$B$49,"HDPE",Pipes!$C$5:$C$49,"OD1400")</f>
        <v>1259.1524040097</v>
      </c>
      <c r="F279" s="16"/>
      <c r="G279" s="8" t="n">
        <f aca="false">E279*F279</f>
        <v>0</v>
      </c>
      <c r="H279" s="7" t="s">
        <v>112</v>
      </c>
      <c r="I279" s="15" t="s">
        <v>428</v>
      </c>
      <c r="J279" s="7" t="s">
        <v>197</v>
      </c>
    </row>
    <row r="280" customFormat="false" ht="15" hidden="false" customHeight="false" outlineLevel="0" collapsed="false">
      <c r="A280" s="7" t="s">
        <v>67</v>
      </c>
      <c r="B280" s="7" t="s">
        <v>441</v>
      </c>
      <c r="C280" s="15" t="s">
        <v>442</v>
      </c>
      <c r="D280" s="7" t="s">
        <v>113</v>
      </c>
      <c r="E280" s="8" t="n">
        <f aca="false">SUMIFS(Pipes!$E$5:$E$49,Pipes!$B$5:$B$49,"HDPE",Pipes!$C$5:$C$49,"OD1600")</f>
        <v>1099.43191003176</v>
      </c>
      <c r="F280" s="16"/>
      <c r="G280" s="8" t="n">
        <f aca="false">E280*F280</f>
        <v>0</v>
      </c>
      <c r="H280" s="7" t="s">
        <v>112</v>
      </c>
      <c r="I280" s="15" t="s">
        <v>428</v>
      </c>
      <c r="J280" s="7" t="s">
        <v>197</v>
      </c>
    </row>
    <row r="281" customFormat="false" ht="15" hidden="false" customHeight="false" outlineLevel="0" collapsed="false">
      <c r="A281" s="7" t="s">
        <v>67</v>
      </c>
      <c r="B281" s="7" t="s">
        <v>443</v>
      </c>
      <c r="C281" s="15" t="s">
        <v>444</v>
      </c>
      <c r="D281" s="7" t="s">
        <v>113</v>
      </c>
      <c r="E281" s="8" t="n">
        <f aca="false">SUMIFS(Pipes!$E$5:$E$49,Pipes!$B$5:$B$49,"HDPE",Pipes!$C$5:$C$49,"DN1600 as printed")</f>
        <v>346.371304434734</v>
      </c>
      <c r="F281" s="16"/>
      <c r="G281" s="8" t="n">
        <f aca="false">E281*F281</f>
        <v>0</v>
      </c>
      <c r="H281" s="7" t="s">
        <v>112</v>
      </c>
      <c r="I281" s="15" t="s">
        <v>428</v>
      </c>
      <c r="J281" s="7" t="s">
        <v>197</v>
      </c>
    </row>
    <row r="282" customFormat="false" ht="15" hidden="false" customHeight="false" outlineLevel="0" collapsed="false">
      <c r="A282" s="7" t="s">
        <v>67</v>
      </c>
      <c r="B282" s="7" t="s">
        <v>445</v>
      </c>
      <c r="C282" s="15" t="s">
        <v>446</v>
      </c>
      <c r="D282" s="7" t="s">
        <v>113</v>
      </c>
      <c r="E282" s="8" t="n">
        <f aca="false">SUMIFS(Pipes!$E$5:$E$49,Pipes!$B$5:$B$49,"HDPE",Pipes!$C$5:$C$49,"OD600")</f>
        <v>295.133343906718</v>
      </c>
      <c r="F282" s="16"/>
      <c r="G282" s="8" t="n">
        <f aca="false">E282*F282</f>
        <v>0</v>
      </c>
      <c r="H282" s="7" t="s">
        <v>112</v>
      </c>
      <c r="I282" s="15" t="s">
        <v>428</v>
      </c>
      <c r="J282" s="7" t="s">
        <v>197</v>
      </c>
    </row>
    <row r="283" customFormat="false" ht="15" hidden="false" customHeight="false" outlineLevel="0" collapsed="false">
      <c r="A283" s="7" t="s">
        <v>67</v>
      </c>
      <c r="B283" s="7" t="s">
        <v>447</v>
      </c>
      <c r="C283" s="15" t="s">
        <v>448</v>
      </c>
      <c r="D283" s="7" t="s">
        <v>113</v>
      </c>
      <c r="E283" s="8" t="n">
        <f aca="false">SUMIFS(Pipes!$E$5:$E$49,Pipes!$B$5:$B$49,"HDPE",Pipes!$C$5:$C$49,"OD500")</f>
        <v>13.545427394128</v>
      </c>
      <c r="F283" s="16"/>
      <c r="G283" s="8" t="n">
        <f aca="false">E283*F283</f>
        <v>0</v>
      </c>
      <c r="H283" s="7" t="s">
        <v>112</v>
      </c>
      <c r="I283" s="15" t="s">
        <v>428</v>
      </c>
      <c r="J283" s="7" t="s">
        <v>197</v>
      </c>
    </row>
    <row r="284" customFormat="false" ht="15" hidden="false" customHeight="false" outlineLevel="0" collapsed="false">
      <c r="A284" s="7" t="s">
        <v>67</v>
      </c>
      <c r="B284" s="7" t="s">
        <v>449</v>
      </c>
      <c r="C284" s="15" t="s">
        <v>450</v>
      </c>
      <c r="D284" s="7" t="s">
        <v>113</v>
      </c>
      <c r="E284" s="8" t="n">
        <f aca="false">SUMIFS(Pipes!$E$5:$E$49,Pipes!$B$5:$B$49,"HDPE",Pipes!$C$5:$C$49,"OD315")</f>
        <v>17.8373785804877</v>
      </c>
      <c r="F284" s="16"/>
      <c r="G284" s="8" t="n">
        <f aca="false">E284*F284</f>
        <v>0</v>
      </c>
      <c r="H284" s="7" t="s">
        <v>112</v>
      </c>
      <c r="I284" s="15" t="s">
        <v>428</v>
      </c>
      <c r="J284" s="7" t="s">
        <v>197</v>
      </c>
    </row>
    <row r="285" customFormat="false" ht="15" hidden="false" customHeight="false" outlineLevel="0" collapsed="false">
      <c r="A285" s="7" t="s">
        <v>67</v>
      </c>
      <c r="B285" s="7" t="s">
        <v>451</v>
      </c>
      <c r="C285" s="15" t="s">
        <v>452</v>
      </c>
      <c r="D285" s="7" t="s">
        <v>104</v>
      </c>
      <c r="E285" s="8" t="n">
        <f aca="false">SUMIFS(Pipes!$H$5:$H$49,Pipes!$B$5:$B$49,"GRP")</f>
        <v>27</v>
      </c>
      <c r="F285" s="16"/>
      <c r="G285" s="8" t="n">
        <f aca="false">E285*F285</f>
        <v>0</v>
      </c>
      <c r="H285" s="7" t="s">
        <v>115</v>
      </c>
      <c r="I285" s="15" t="s">
        <v>453</v>
      </c>
      <c r="J285" s="7" t="s">
        <v>197</v>
      </c>
    </row>
    <row r="286" customFormat="false" ht="15" hidden="false" customHeight="false" outlineLevel="0" collapsed="false">
      <c r="A286" s="7" t="s">
        <v>67</v>
      </c>
      <c r="B286" s="7" t="s">
        <v>454</v>
      </c>
      <c r="C286" s="15" t="s">
        <v>455</v>
      </c>
      <c r="D286" s="7" t="s">
        <v>104</v>
      </c>
      <c r="E286" s="8" t="n">
        <f aca="false">SUMIFS(Pipes!$I$5:$I$49,Pipes!$B$5:$B$49,"GRP")</f>
        <v>96</v>
      </c>
      <c r="F286" s="16"/>
      <c r="G286" s="8" t="n">
        <f aca="false">E286*F286</f>
        <v>0</v>
      </c>
      <c r="H286" s="7" t="s">
        <v>115</v>
      </c>
      <c r="I286" s="15" t="s">
        <v>453</v>
      </c>
      <c r="J286" s="7" t="s">
        <v>197</v>
      </c>
    </row>
    <row r="287" customFormat="false" ht="15" hidden="false" customHeight="false" outlineLevel="0" collapsed="false">
      <c r="A287" s="7" t="s">
        <v>67</v>
      </c>
      <c r="B287" s="7" t="s">
        <v>456</v>
      </c>
      <c r="C287" s="15" t="s">
        <v>457</v>
      </c>
      <c r="D287" s="7" t="s">
        <v>104</v>
      </c>
      <c r="E287" s="8" t="n">
        <f aca="false">SUMIFS(Pipes!$J$5:$J$49,Pipes!$B$5:$B$49,"GRP")</f>
        <v>65</v>
      </c>
      <c r="F287" s="16"/>
      <c r="G287" s="8" t="n">
        <f aca="false">E287*F287</f>
        <v>0</v>
      </c>
      <c r="H287" s="7" t="s">
        <v>115</v>
      </c>
      <c r="I287" s="15" t="s">
        <v>453</v>
      </c>
      <c r="J287" s="7" t="s">
        <v>197</v>
      </c>
    </row>
    <row r="288" customFormat="false" ht="15" hidden="false" customHeight="false" outlineLevel="0" collapsed="false">
      <c r="A288" s="7" t="s">
        <v>67</v>
      </c>
      <c r="B288" s="7" t="s">
        <v>458</v>
      </c>
      <c r="C288" s="15" t="s">
        <v>459</v>
      </c>
      <c r="D288" s="7" t="s">
        <v>104</v>
      </c>
      <c r="E288" s="8" t="n">
        <f aca="false">SUMIFS(Pipes!$L$5:$L$49,Pipes!$B$5:$B$49,"GRP")</f>
        <v>2</v>
      </c>
      <c r="F288" s="16"/>
      <c r="G288" s="8" t="n">
        <f aca="false">E288*F288</f>
        <v>0</v>
      </c>
      <c r="H288" s="7" t="s">
        <v>115</v>
      </c>
      <c r="I288" s="15" t="s">
        <v>453</v>
      </c>
      <c r="J288" s="7" t="s">
        <v>197</v>
      </c>
    </row>
    <row r="289" customFormat="false" ht="15" hidden="false" customHeight="false" outlineLevel="0" collapsed="false">
      <c r="A289" s="7" t="s">
        <v>67</v>
      </c>
      <c r="B289" s="7" t="s">
        <v>460</v>
      </c>
      <c r="C289" s="15" t="s">
        <v>461</v>
      </c>
      <c r="D289" s="7" t="s">
        <v>104</v>
      </c>
      <c r="E289" s="8" t="n">
        <f aca="false">SUMIFS(Pipes!$M$5:$M$49,Pipes!$B$5:$B$49,"GRP")</f>
        <v>12</v>
      </c>
      <c r="F289" s="16"/>
      <c r="G289" s="8" t="n">
        <f aca="false">E289*F289</f>
        <v>0</v>
      </c>
      <c r="H289" s="7" t="s">
        <v>115</v>
      </c>
      <c r="I289" s="15" t="s">
        <v>453</v>
      </c>
      <c r="J289" s="7" t="s">
        <v>197</v>
      </c>
    </row>
    <row r="290" customFormat="false" ht="15" hidden="false" customHeight="false" outlineLevel="0" collapsed="false">
      <c r="A290" s="7" t="s">
        <v>67</v>
      </c>
      <c r="B290" s="7" t="s">
        <v>462</v>
      </c>
      <c r="C290" s="15" t="s">
        <v>463</v>
      </c>
      <c r="D290" s="7" t="s">
        <v>104</v>
      </c>
      <c r="E290" s="8" t="n">
        <f aca="false">SUMIFS(Pipes!$I$5:$I$49,Pipes!$B$5:$B$49,"HDPE")</f>
        <v>123</v>
      </c>
      <c r="F290" s="16"/>
      <c r="G290" s="8" t="n">
        <f aca="false">E290*F290</f>
        <v>0</v>
      </c>
      <c r="H290" s="7" t="s">
        <v>115</v>
      </c>
      <c r="I290" s="15" t="s">
        <v>453</v>
      </c>
      <c r="J290" s="7" t="s">
        <v>197</v>
      </c>
    </row>
    <row r="291" customFormat="false" ht="15" hidden="false" customHeight="false" outlineLevel="0" collapsed="false">
      <c r="A291" s="7" t="s">
        <v>67</v>
      </c>
      <c r="B291" s="7" t="s">
        <v>464</v>
      </c>
      <c r="C291" s="15" t="s">
        <v>465</v>
      </c>
      <c r="D291" s="7" t="s">
        <v>104</v>
      </c>
      <c r="E291" s="8" t="n">
        <f aca="false">SUMIFS(Pipes!$J$5:$J$49,Pipes!$B$5:$B$49,"HDPE")</f>
        <v>23</v>
      </c>
      <c r="F291" s="16"/>
      <c r="G291" s="8" t="n">
        <f aca="false">E291*F291</f>
        <v>0</v>
      </c>
      <c r="H291" s="7" t="s">
        <v>115</v>
      </c>
      <c r="I291" s="15" t="s">
        <v>453</v>
      </c>
      <c r="J291" s="7" t="s">
        <v>197</v>
      </c>
    </row>
    <row r="292" customFormat="false" ht="15" hidden="false" customHeight="false" outlineLevel="0" collapsed="false">
      <c r="A292" s="7" t="s">
        <v>67</v>
      </c>
      <c r="B292" s="7" t="s">
        <v>466</v>
      </c>
      <c r="C292" s="15" t="s">
        <v>467</v>
      </c>
      <c r="D292" s="7" t="s">
        <v>104</v>
      </c>
      <c r="E292" s="8" t="n">
        <f aca="false">SUMIFS(Pipes!$K$5:$K$49,Pipes!$B$5:$B$49,"HDPE")</f>
        <v>58</v>
      </c>
      <c r="F292" s="16"/>
      <c r="G292" s="8" t="n">
        <f aca="false">E292*F292</f>
        <v>0</v>
      </c>
      <c r="H292" s="7" t="s">
        <v>115</v>
      </c>
      <c r="I292" s="15" t="s">
        <v>453</v>
      </c>
      <c r="J292" s="7" t="s">
        <v>197</v>
      </c>
    </row>
    <row r="293" customFormat="false" ht="15" hidden="false" customHeight="false" outlineLevel="0" collapsed="false">
      <c r="A293" s="7" t="s">
        <v>67</v>
      </c>
      <c r="B293" s="7" t="s">
        <v>468</v>
      </c>
      <c r="C293" s="15" t="s">
        <v>469</v>
      </c>
      <c r="D293" s="7" t="s">
        <v>104</v>
      </c>
      <c r="E293" s="8" t="n">
        <f aca="false">SUMIFS(Pipes!$L$5:$L$49,Pipes!$B$5:$B$49,"HDPE")</f>
        <v>41</v>
      </c>
      <c r="F293" s="16"/>
      <c r="G293" s="8" t="n">
        <f aca="false">E293*F293</f>
        <v>0</v>
      </c>
      <c r="H293" s="7" t="s">
        <v>115</v>
      </c>
      <c r="I293" s="15" t="s">
        <v>453</v>
      </c>
      <c r="J293" s="7" t="s">
        <v>197</v>
      </c>
    </row>
    <row r="294" customFormat="false" ht="15" hidden="false" customHeight="false" outlineLevel="0" collapsed="false">
      <c r="A294" s="7" t="s">
        <v>67</v>
      </c>
      <c r="B294" s="7" t="s">
        <v>470</v>
      </c>
      <c r="C294" s="15" t="s">
        <v>471</v>
      </c>
      <c r="D294" s="7" t="s">
        <v>104</v>
      </c>
      <c r="E294" s="8" t="n">
        <f aca="false">SUMIFS(Pipes!$M$5:$M$49,Pipes!$B$5:$B$49,"HDPE")</f>
        <v>15</v>
      </c>
      <c r="F294" s="16"/>
      <c r="G294" s="8" t="n">
        <f aca="false">E294*F294</f>
        <v>0</v>
      </c>
      <c r="H294" s="7" t="s">
        <v>115</v>
      </c>
      <c r="I294" s="15" t="s">
        <v>453</v>
      </c>
      <c r="J294" s="7" t="s">
        <v>197</v>
      </c>
    </row>
    <row r="295" customFormat="false" ht="15" hidden="false" customHeight="false" outlineLevel="0" collapsed="false">
      <c r="A295" s="7" t="s">
        <v>67</v>
      </c>
      <c r="B295" s="7" t="s">
        <v>472</v>
      </c>
      <c r="C295" s="15" t="s">
        <v>473</v>
      </c>
      <c r="D295" s="7" t="s">
        <v>104</v>
      </c>
      <c r="E295" s="8" t="n">
        <f aca="false">SUMIFS(Pipes!$N$5:$N$49,Pipes!$B$5:$B$49,"HDPE")</f>
        <v>10</v>
      </c>
      <c r="F295" s="16"/>
      <c r="G295" s="8" t="n">
        <f aca="false">E295*F295</f>
        <v>0</v>
      </c>
      <c r="H295" s="7" t="s">
        <v>115</v>
      </c>
      <c r="I295" s="15" t="s">
        <v>453</v>
      </c>
      <c r="J295" s="7" t="s">
        <v>197</v>
      </c>
    </row>
    <row r="296" customFormat="false" ht="15" hidden="false" customHeight="false" outlineLevel="0" collapsed="false">
      <c r="A296" s="7" t="s">
        <v>67</v>
      </c>
      <c r="B296" s="7" t="s">
        <v>474</v>
      </c>
      <c r="C296" s="15" t="s">
        <v>475</v>
      </c>
      <c r="D296" s="7" t="s">
        <v>104</v>
      </c>
      <c r="E296" s="8" t="n">
        <f aca="false">SUMIFS(Pipes!$O$5:$O$49,Pipes!$B$5:$B$49,"HDPE")</f>
        <v>2</v>
      </c>
      <c r="F296" s="16"/>
      <c r="G296" s="8" t="n">
        <f aca="false">E296*F296</f>
        <v>0</v>
      </c>
      <c r="H296" s="7" t="s">
        <v>115</v>
      </c>
      <c r="I296" s="15" t="s">
        <v>453</v>
      </c>
      <c r="J296" s="7" t="s">
        <v>197</v>
      </c>
    </row>
    <row r="297" customFormat="false" ht="15" hidden="false" customHeight="false" outlineLevel="0" collapsed="false">
      <c r="A297" s="7" t="s">
        <v>67</v>
      </c>
      <c r="B297" s="7" t="s">
        <v>476</v>
      </c>
      <c r="C297" s="15" t="s">
        <v>477</v>
      </c>
      <c r="D297" s="7" t="s">
        <v>104</v>
      </c>
      <c r="E297" s="8" t="n">
        <f aca="false">SUM(Pipes!$G$5:$G$49)</f>
        <v>90</v>
      </c>
      <c r="F297" s="16"/>
      <c r="G297" s="8" t="n">
        <f aca="false">E297*F297</f>
        <v>0</v>
      </c>
      <c r="H297" s="7" t="s">
        <v>478</v>
      </c>
      <c r="I297" s="15" t="s">
        <v>479</v>
      </c>
      <c r="J297" s="7" t="s">
        <v>136</v>
      </c>
    </row>
    <row r="298" customFormat="false" ht="15" hidden="false" customHeight="false" outlineLevel="0" collapsed="false">
      <c r="A298" s="7" t="s">
        <v>67</v>
      </c>
      <c r="B298" s="7" t="s">
        <v>480</v>
      </c>
      <c r="C298" s="15" t="s">
        <v>481</v>
      </c>
      <c r="D298" s="7" t="s">
        <v>77</v>
      </c>
      <c r="E298" s="8" t="n">
        <f aca="false">SUM(Pipes!$P$5:$P$49)</f>
        <v>104633.082954158</v>
      </c>
      <c r="F298" s="16"/>
      <c r="G298" s="8" t="n">
        <f aca="false">E298*F298</f>
        <v>0</v>
      </c>
      <c r="H298" s="7" t="s">
        <v>106</v>
      </c>
      <c r="I298" s="15" t="s">
        <v>482</v>
      </c>
      <c r="J298" s="7" t="s">
        <v>136</v>
      </c>
    </row>
    <row r="299" customFormat="false" ht="15" hidden="false" customHeight="false" outlineLevel="0" collapsed="false">
      <c r="A299" s="7" t="s">
        <v>67</v>
      </c>
      <c r="B299" s="7" t="s">
        <v>483</v>
      </c>
      <c r="C299" s="15" t="s">
        <v>484</v>
      </c>
      <c r="D299" s="7" t="s">
        <v>77</v>
      </c>
      <c r="E299" s="8" t="n">
        <f aca="false">SUM(Pipes!$Q$5:$Q$49)</f>
        <v>29959.9607418467</v>
      </c>
      <c r="F299" s="16"/>
      <c r="G299" s="8" t="n">
        <f aca="false">E299*F299</f>
        <v>0</v>
      </c>
      <c r="H299" s="7" t="s">
        <v>106</v>
      </c>
      <c r="I299" s="15" t="s">
        <v>485</v>
      </c>
      <c r="J299" s="7" t="s">
        <v>136</v>
      </c>
    </row>
    <row r="300" customFormat="false" ht="15" hidden="false" customHeight="false" outlineLevel="0" collapsed="false">
      <c r="A300" s="7" t="s">
        <v>67</v>
      </c>
      <c r="B300" s="7" t="s">
        <v>486</v>
      </c>
      <c r="C300" s="15" t="s">
        <v>487</v>
      </c>
      <c r="D300" s="7" t="s">
        <v>96</v>
      </c>
      <c r="E300" s="8" t="n">
        <f aca="false">SUM(Pipes!$R$5:$R$49)</f>
        <v>116308.607642288</v>
      </c>
      <c r="F300" s="16"/>
      <c r="G300" s="8" t="n">
        <f aca="false">E300*F300</f>
        <v>0</v>
      </c>
      <c r="H300" s="7" t="s">
        <v>110</v>
      </c>
      <c r="I300" s="15" t="s">
        <v>488</v>
      </c>
      <c r="J300" s="7" t="s">
        <v>136</v>
      </c>
    </row>
    <row r="301" customFormat="false" ht="15" hidden="false" customHeight="false" outlineLevel="0" collapsed="false">
      <c r="A301" s="7" t="s">
        <v>67</v>
      </c>
      <c r="B301" s="7" t="s">
        <v>489</v>
      </c>
      <c r="C301" s="15" t="s">
        <v>490</v>
      </c>
      <c r="D301" s="7" t="s">
        <v>113</v>
      </c>
      <c r="E301" s="8" t="n">
        <f aca="false">SUM(Pipes!$X$5:$X$49)</f>
        <v>8132.43051226397</v>
      </c>
      <c r="F301" s="16"/>
      <c r="G301" s="8" t="n">
        <f aca="false">E301*F301</f>
        <v>0</v>
      </c>
      <c r="H301" s="7" t="s">
        <v>491</v>
      </c>
      <c r="I301" s="15" t="s">
        <v>485</v>
      </c>
      <c r="J301" s="7" t="s">
        <v>136</v>
      </c>
    </row>
    <row r="302" customFormat="false" ht="15" hidden="false" customHeight="false" outlineLevel="0" collapsed="false">
      <c r="A302" s="7" t="s">
        <v>67</v>
      </c>
      <c r="B302" s="7" t="s">
        <v>492</v>
      </c>
      <c r="C302" s="15" t="s">
        <v>493</v>
      </c>
      <c r="D302" s="7" t="s">
        <v>494</v>
      </c>
      <c r="E302" s="8" t="n">
        <f aca="false">SUM(Pipes!$Y$5:$Y$49)</f>
        <v>16981</v>
      </c>
      <c r="F302" s="16"/>
      <c r="G302" s="8" t="n">
        <f aca="false">E302*F302</f>
        <v>0</v>
      </c>
      <c r="H302" s="7" t="s">
        <v>491</v>
      </c>
      <c r="I302" s="15" t="s">
        <v>495</v>
      </c>
      <c r="J302" s="7" t="s">
        <v>136</v>
      </c>
    </row>
    <row r="303" customFormat="false" ht="15" hidden="false" customHeight="false" outlineLevel="0" collapsed="false">
      <c r="A303" s="7" t="s">
        <v>67</v>
      </c>
      <c r="B303" s="7" t="s">
        <v>496</v>
      </c>
      <c r="C303" s="15" t="s">
        <v>497</v>
      </c>
      <c r="D303" s="7" t="s">
        <v>104</v>
      </c>
      <c r="E303" s="8" t="n">
        <f aca="false">SUM(Pipes!$U$5:$U$49)</f>
        <v>5788</v>
      </c>
      <c r="F303" s="16"/>
      <c r="G303" s="8" t="n">
        <f aca="false">E303*F303</f>
        <v>0</v>
      </c>
      <c r="H303" s="7" t="s">
        <v>103</v>
      </c>
      <c r="I303" s="15" t="s">
        <v>498</v>
      </c>
      <c r="J303" s="7" t="s">
        <v>143</v>
      </c>
    </row>
    <row r="304" customFormat="false" ht="15" hidden="false" customHeight="false" outlineLevel="0" collapsed="false">
      <c r="A304" s="7" t="s">
        <v>67</v>
      </c>
      <c r="B304" s="7" t="s">
        <v>499</v>
      </c>
      <c r="C304" s="15" t="s">
        <v>500</v>
      </c>
      <c r="D304" s="7" t="s">
        <v>77</v>
      </c>
      <c r="E304" s="8" t="n">
        <f aca="false">SUM(Pipes!$T$5:$T$49)</f>
        <v>11770.1362207214</v>
      </c>
      <c r="F304" s="16"/>
      <c r="G304" s="8" t="n">
        <f aca="false">E304*F304</f>
        <v>0</v>
      </c>
      <c r="H304" s="7" t="s">
        <v>76</v>
      </c>
      <c r="I304" s="15" t="s">
        <v>485</v>
      </c>
      <c r="J304" s="7" t="s">
        <v>136</v>
      </c>
    </row>
    <row r="305" customFormat="false" ht="15" hidden="false" customHeight="false" outlineLevel="0" collapsed="false">
      <c r="A305" s="7" t="s">
        <v>67</v>
      </c>
      <c r="B305" s="7" t="s">
        <v>501</v>
      </c>
      <c r="C305" s="15" t="s">
        <v>502</v>
      </c>
      <c r="D305" s="7" t="s">
        <v>99</v>
      </c>
      <c r="E305" s="17" t="n">
        <f aca="false">SUM(Pipes!$T$5:$T$49)*RR_PIPESLAB/1000</f>
        <v>1294.71498427936</v>
      </c>
      <c r="F305" s="16"/>
      <c r="G305" s="8" t="n">
        <f aca="false">E305*F305</f>
        <v>0</v>
      </c>
      <c r="H305" s="7" t="s">
        <v>98</v>
      </c>
      <c r="I305" s="15" t="s">
        <v>503</v>
      </c>
      <c r="J305" s="7" t="s">
        <v>143</v>
      </c>
    </row>
    <row r="306" customFormat="false" ht="15" hidden="false" customHeight="false" outlineLevel="0" collapsed="false">
      <c r="A306" s="7" t="s">
        <v>67</v>
      </c>
      <c r="B306" s="7" t="s">
        <v>504</v>
      </c>
      <c r="C306" s="15" t="s">
        <v>505</v>
      </c>
      <c r="D306" s="7" t="s">
        <v>77</v>
      </c>
      <c r="E306" s="8" t="n">
        <f aca="false">SUM(Pipes!$W$5:$W$49)</f>
        <v>51302.3561312743</v>
      </c>
      <c r="F306" s="16"/>
      <c r="G306" s="8" t="n">
        <f aca="false">E306*F306</f>
        <v>0</v>
      </c>
      <c r="H306" s="7" t="s">
        <v>506</v>
      </c>
      <c r="I306" s="15" t="s">
        <v>507</v>
      </c>
      <c r="J306" s="7" t="s">
        <v>136</v>
      </c>
    </row>
    <row r="307" customFormat="false" ht="15" hidden="false" customHeight="false" outlineLevel="0" collapsed="false">
      <c r="A307" s="7" t="s">
        <v>67</v>
      </c>
      <c r="B307" s="7" t="s">
        <v>508</v>
      </c>
      <c r="C307" s="15" t="s">
        <v>509</v>
      </c>
      <c r="D307" s="7" t="s">
        <v>77</v>
      </c>
      <c r="E307" s="8" t="n">
        <f aca="false">SUM(Pipes!$V$5:$V$49)</f>
        <v>97445.5446044473</v>
      </c>
      <c r="F307" s="16"/>
      <c r="G307" s="8" t="n">
        <f aca="false">E307*F307</f>
        <v>0</v>
      </c>
      <c r="H307" s="7" t="s">
        <v>108</v>
      </c>
      <c r="I307" s="15" t="s">
        <v>485</v>
      </c>
      <c r="J307" s="7" t="s">
        <v>136</v>
      </c>
    </row>
    <row r="308" customFormat="false" ht="15" hidden="false" customHeight="false" outlineLevel="0" collapsed="false">
      <c r="A308" s="7" t="s">
        <v>67</v>
      </c>
      <c r="B308" s="7" t="s">
        <v>510</v>
      </c>
      <c r="C308" s="15" t="s">
        <v>511</v>
      </c>
      <c r="D308" s="7" t="s">
        <v>113</v>
      </c>
      <c r="E308" s="8" t="n">
        <f aca="false">SUM(Pipes!$Z$5:$Z$49)</f>
        <v>601.117147283627</v>
      </c>
      <c r="F308" s="16"/>
      <c r="G308" s="8" t="n">
        <f aca="false">E308*F308</f>
        <v>0</v>
      </c>
      <c r="H308" s="7" t="s">
        <v>512</v>
      </c>
      <c r="I308" s="15" t="s">
        <v>513</v>
      </c>
      <c r="J308" s="7" t="s">
        <v>136</v>
      </c>
    </row>
    <row r="309" customFormat="false" ht="15" hidden="false" customHeight="false" outlineLevel="0" collapsed="false">
      <c r="A309" s="7" t="s">
        <v>67</v>
      </c>
      <c r="B309" s="7" t="s">
        <v>514</v>
      </c>
      <c r="C309" s="15" t="s">
        <v>515</v>
      </c>
      <c r="D309" s="7" t="s">
        <v>104</v>
      </c>
      <c r="E309" s="8" t="n">
        <f aca="false">SUM(Pipes!$AA$5:$AA$49)</f>
        <v>129</v>
      </c>
      <c r="F309" s="16"/>
      <c r="G309" s="8" t="n">
        <f aca="false">E309*F309</f>
        <v>0</v>
      </c>
      <c r="H309" s="7" t="s">
        <v>516</v>
      </c>
      <c r="I309" s="15" t="s">
        <v>517</v>
      </c>
      <c r="J309" s="7" t="s">
        <v>136</v>
      </c>
    </row>
    <row r="310" customFormat="false" ht="15" hidden="false" customHeight="false" outlineLevel="0" collapsed="false">
      <c r="A310" s="13" t="s">
        <v>69</v>
      </c>
      <c r="B310" s="14"/>
      <c r="C310" s="13" t="s">
        <v>70</v>
      </c>
      <c r="D310" s="14"/>
      <c r="E310" s="14"/>
      <c r="F310" s="14"/>
      <c r="G310" s="14"/>
      <c r="H310" s="14"/>
      <c r="I310" s="14"/>
      <c r="J310" s="14"/>
    </row>
    <row r="311" customFormat="false" ht="23.85" hidden="false" customHeight="false" outlineLevel="0" collapsed="false">
      <c r="A311" s="7" t="s">
        <v>69</v>
      </c>
      <c r="B311" s="7" t="s">
        <v>518</v>
      </c>
      <c r="C311" s="15" t="s">
        <v>519</v>
      </c>
      <c r="D311" s="7" t="s">
        <v>113</v>
      </c>
      <c r="E311" s="8" t="n">
        <v>125.5</v>
      </c>
      <c r="F311" s="16"/>
      <c r="G311" s="8" t="n">
        <f aca="false">E311*F311</f>
        <v>0</v>
      </c>
      <c r="H311" s="7" t="s">
        <v>112</v>
      </c>
      <c r="I311" s="15" t="s">
        <v>520</v>
      </c>
      <c r="J311" s="7" t="s">
        <v>143</v>
      </c>
    </row>
    <row r="312" customFormat="false" ht="23.85" hidden="false" customHeight="false" outlineLevel="0" collapsed="false">
      <c r="A312" s="7" t="s">
        <v>69</v>
      </c>
      <c r="B312" s="7" t="s">
        <v>521</v>
      </c>
      <c r="C312" s="15" t="s">
        <v>522</v>
      </c>
      <c r="D312" s="7" t="s">
        <v>77</v>
      </c>
      <c r="E312" s="8" t="n">
        <f aca="false">(SITE_AREA-SITE_DEDUCT*SUM(Structures!$E$5:$E$55))*(FL-NG)</f>
        <v>378367.47</v>
      </c>
      <c r="F312" s="16"/>
      <c r="G312" s="8" t="n">
        <f aca="false">E312*F312</f>
        <v>0</v>
      </c>
      <c r="H312" s="7" t="s">
        <v>119</v>
      </c>
      <c r="I312" s="15" t="s">
        <v>523</v>
      </c>
      <c r="J312" s="7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524</v>
      </c>
    </row>
    <row r="2" customFormat="false" ht="15" hidden="false" customHeight="false" outlineLevel="0" collapsed="false">
      <c r="A2" s="2" t="s">
        <v>525</v>
      </c>
    </row>
    <row r="4" customFormat="false" ht="31.5" hidden="false" customHeight="true" outlineLevel="0" collapsed="false">
      <c r="A4" s="5" t="s">
        <v>526</v>
      </c>
      <c r="B4" s="5" t="s">
        <v>18</v>
      </c>
      <c r="C4" s="5" t="s">
        <v>527</v>
      </c>
      <c r="D4" s="5" t="s">
        <v>75</v>
      </c>
      <c r="E4" s="5" t="s">
        <v>528</v>
      </c>
    </row>
    <row r="5" customFormat="false" ht="15" hidden="false" customHeight="false" outlineLevel="0" collapsed="false">
      <c r="A5" s="19" t="s">
        <v>529</v>
      </c>
      <c r="B5" s="20"/>
      <c r="C5" s="20"/>
      <c r="D5" s="20"/>
      <c r="E5" s="20"/>
    </row>
    <row r="6" customFormat="false" ht="15" hidden="false" customHeight="false" outlineLevel="0" collapsed="false">
      <c r="A6" s="6" t="s">
        <v>530</v>
      </c>
      <c r="B6" s="15" t="s">
        <v>531</v>
      </c>
      <c r="C6" s="21" t="s">
        <v>532</v>
      </c>
      <c r="D6" s="7"/>
      <c r="E6" s="15" t="s">
        <v>533</v>
      </c>
    </row>
    <row r="7" customFormat="false" ht="15" hidden="false" customHeight="false" outlineLevel="0" collapsed="false">
      <c r="A7" s="6" t="s">
        <v>534</v>
      </c>
      <c r="B7" s="15" t="s">
        <v>535</v>
      </c>
      <c r="C7" s="22" t="n">
        <v>-0.7</v>
      </c>
      <c r="D7" s="7" t="s">
        <v>113</v>
      </c>
      <c r="E7" s="15" t="s">
        <v>536</v>
      </c>
    </row>
    <row r="8" customFormat="false" ht="15" hidden="false" customHeight="false" outlineLevel="0" collapsed="false">
      <c r="A8" s="6" t="s">
        <v>537</v>
      </c>
      <c r="B8" s="15" t="s">
        <v>538</v>
      </c>
      <c r="C8" s="21" t="n">
        <v>1</v>
      </c>
      <c r="D8" s="7" t="s">
        <v>113</v>
      </c>
      <c r="E8" s="15" t="s">
        <v>539</v>
      </c>
    </row>
    <row r="9" customFormat="false" ht="15" hidden="false" customHeight="false" outlineLevel="0" collapsed="false">
      <c r="A9" s="19" t="s">
        <v>540</v>
      </c>
      <c r="B9" s="20"/>
      <c r="C9" s="20"/>
      <c r="D9" s="20"/>
      <c r="E9" s="20"/>
    </row>
    <row r="10" customFormat="false" ht="15" hidden="false" customHeight="false" outlineLevel="0" collapsed="false">
      <c r="A10" s="6" t="s">
        <v>541</v>
      </c>
      <c r="B10" s="15" t="s">
        <v>542</v>
      </c>
      <c r="C10" s="21" t="n">
        <v>1</v>
      </c>
      <c r="D10" s="7" t="s">
        <v>113</v>
      </c>
      <c r="E10" s="15" t="s">
        <v>543</v>
      </c>
    </row>
    <row r="11" customFormat="false" ht="15" hidden="false" customHeight="false" outlineLevel="0" collapsed="false">
      <c r="A11" s="6" t="s">
        <v>544</v>
      </c>
      <c r="B11" s="15" t="s">
        <v>545</v>
      </c>
      <c r="C11" s="22" t="n">
        <v>1.5</v>
      </c>
      <c r="D11" s="7" t="s">
        <v>546</v>
      </c>
      <c r="E11" s="15" t="s">
        <v>547</v>
      </c>
    </row>
    <row r="12" customFormat="false" ht="15" hidden="false" customHeight="false" outlineLevel="0" collapsed="false">
      <c r="A12" s="19" t="s">
        <v>548</v>
      </c>
      <c r="B12" s="20"/>
      <c r="C12" s="20"/>
      <c r="D12" s="20"/>
      <c r="E12" s="20"/>
    </row>
    <row r="13" customFormat="false" ht="15" hidden="false" customHeight="false" outlineLevel="0" collapsed="false">
      <c r="A13" s="6" t="s">
        <v>549</v>
      </c>
      <c r="B13" s="15" t="s">
        <v>550</v>
      </c>
      <c r="C13" s="22" t="n">
        <v>0.1</v>
      </c>
      <c r="D13" s="7" t="s">
        <v>551</v>
      </c>
      <c r="E13" s="15" t="s">
        <v>552</v>
      </c>
    </row>
    <row r="14" customFormat="false" ht="15" hidden="false" customHeight="false" outlineLevel="0" collapsed="false">
      <c r="A14" s="19" t="s">
        <v>553</v>
      </c>
      <c r="B14" s="20"/>
      <c r="C14" s="20"/>
      <c r="D14" s="20"/>
      <c r="E14" s="20"/>
    </row>
    <row r="15" customFormat="false" ht="23.85" hidden="false" customHeight="false" outlineLevel="0" collapsed="false">
      <c r="A15" s="6" t="s">
        <v>554</v>
      </c>
      <c r="B15" s="15" t="s">
        <v>555</v>
      </c>
      <c r="C15" s="21" t="n">
        <v>107</v>
      </c>
      <c r="D15" s="7" t="s">
        <v>556</v>
      </c>
      <c r="E15" s="15" t="s">
        <v>557</v>
      </c>
    </row>
    <row r="16" customFormat="false" ht="15" hidden="false" customHeight="false" outlineLevel="0" collapsed="false">
      <c r="A16" s="6" t="s">
        <v>558</v>
      </c>
      <c r="B16" s="15" t="s">
        <v>559</v>
      </c>
      <c r="C16" s="21" t="n">
        <v>140</v>
      </c>
      <c r="D16" s="7" t="s">
        <v>556</v>
      </c>
      <c r="E16" s="15" t="s">
        <v>560</v>
      </c>
    </row>
    <row r="17" customFormat="false" ht="15" hidden="false" customHeight="false" outlineLevel="0" collapsed="false">
      <c r="A17" s="6" t="s">
        <v>561</v>
      </c>
      <c r="B17" s="15" t="s">
        <v>562</v>
      </c>
      <c r="C17" s="21" t="n">
        <v>130</v>
      </c>
      <c r="D17" s="7" t="s">
        <v>556</v>
      </c>
      <c r="E17" s="15" t="s">
        <v>563</v>
      </c>
    </row>
    <row r="18" customFormat="false" ht="15" hidden="false" customHeight="false" outlineLevel="0" collapsed="false">
      <c r="A18" s="6" t="s">
        <v>564</v>
      </c>
      <c r="B18" s="15" t="s">
        <v>565</v>
      </c>
      <c r="C18" s="21" t="n">
        <v>180</v>
      </c>
      <c r="D18" s="7" t="s">
        <v>556</v>
      </c>
      <c r="E18" s="15" t="s">
        <v>563</v>
      </c>
    </row>
    <row r="19" customFormat="false" ht="15" hidden="false" customHeight="false" outlineLevel="0" collapsed="false">
      <c r="A19" s="6" t="s">
        <v>566</v>
      </c>
      <c r="B19" s="15" t="s">
        <v>567</v>
      </c>
      <c r="C19" s="21" t="n">
        <v>130</v>
      </c>
      <c r="D19" s="7" t="s">
        <v>556</v>
      </c>
      <c r="E19" s="15" t="s">
        <v>563</v>
      </c>
    </row>
    <row r="20" customFormat="false" ht="15" hidden="false" customHeight="false" outlineLevel="0" collapsed="false">
      <c r="A20" s="6" t="s">
        <v>568</v>
      </c>
      <c r="B20" s="15" t="s">
        <v>569</v>
      </c>
      <c r="C20" s="21" t="n">
        <v>80</v>
      </c>
      <c r="D20" s="7" t="s">
        <v>556</v>
      </c>
      <c r="E20" s="15" t="s">
        <v>563</v>
      </c>
    </row>
    <row r="21" customFormat="false" ht="23.85" hidden="false" customHeight="false" outlineLevel="0" collapsed="false">
      <c r="A21" s="6" t="s">
        <v>570</v>
      </c>
      <c r="B21" s="15" t="s">
        <v>571</v>
      </c>
      <c r="C21" s="21" t="n">
        <v>200</v>
      </c>
      <c r="D21" s="7" t="s">
        <v>556</v>
      </c>
      <c r="E21" s="15" t="s">
        <v>572</v>
      </c>
    </row>
    <row r="22" customFormat="false" ht="15" hidden="false" customHeight="false" outlineLevel="0" collapsed="false">
      <c r="A22" s="6" t="s">
        <v>573</v>
      </c>
      <c r="B22" s="15" t="s">
        <v>574</v>
      </c>
      <c r="C22" s="21" t="n">
        <v>110</v>
      </c>
      <c r="D22" s="7" t="s">
        <v>556</v>
      </c>
      <c r="E22" s="15" t="s">
        <v>575</v>
      </c>
    </row>
    <row r="23" customFormat="false" ht="15" hidden="false" customHeight="false" outlineLevel="0" collapsed="false">
      <c r="A23" s="19" t="s">
        <v>576</v>
      </c>
      <c r="B23" s="20"/>
      <c r="C23" s="20"/>
      <c r="D23" s="20"/>
      <c r="E23" s="20"/>
    </row>
    <row r="24" customFormat="false" ht="15" hidden="false" customHeight="false" outlineLevel="0" collapsed="false">
      <c r="A24" s="6" t="s">
        <v>577</v>
      </c>
      <c r="B24" s="15" t="s">
        <v>578</v>
      </c>
      <c r="C24" s="22" t="n">
        <v>7.85</v>
      </c>
      <c r="D24" s="7" t="s">
        <v>579</v>
      </c>
      <c r="E24" s="15" t="s">
        <v>580</v>
      </c>
    </row>
    <row r="25" customFormat="false" ht="15" hidden="false" customHeight="false" outlineLevel="0" collapsed="false">
      <c r="A25" s="6" t="s">
        <v>581</v>
      </c>
      <c r="B25" s="15" t="s">
        <v>582</v>
      </c>
      <c r="C25" s="21" t="n">
        <v>2</v>
      </c>
      <c r="D25" s="7" t="s">
        <v>104</v>
      </c>
      <c r="E25" s="15" t="s">
        <v>583</v>
      </c>
    </row>
    <row r="26" customFormat="false" ht="15" hidden="false" customHeight="false" outlineLevel="0" collapsed="false">
      <c r="A26" s="19" t="s">
        <v>584</v>
      </c>
      <c r="B26" s="20"/>
      <c r="C26" s="20"/>
      <c r="D26" s="20"/>
      <c r="E26" s="20"/>
    </row>
    <row r="27" customFormat="false" ht="15" hidden="false" customHeight="false" outlineLevel="0" collapsed="false">
      <c r="A27" s="6" t="s">
        <v>585</v>
      </c>
      <c r="B27" s="15" t="s">
        <v>586</v>
      </c>
      <c r="C27" s="21" t="n">
        <v>1</v>
      </c>
      <c r="D27" s="7" t="s">
        <v>113</v>
      </c>
      <c r="E27" s="15" t="s">
        <v>587</v>
      </c>
    </row>
    <row r="28" customFormat="false" ht="15" hidden="false" customHeight="false" outlineLevel="0" collapsed="false">
      <c r="A28" s="6" t="s">
        <v>588</v>
      </c>
      <c r="B28" s="15" t="s">
        <v>589</v>
      </c>
      <c r="C28" s="22" t="n">
        <v>0.3</v>
      </c>
      <c r="D28" s="7" t="s">
        <v>113</v>
      </c>
      <c r="E28" s="15" t="s">
        <v>563</v>
      </c>
    </row>
    <row r="29" customFormat="false" ht="15" hidden="false" customHeight="false" outlineLevel="0" collapsed="false">
      <c r="A29" s="19" t="s">
        <v>590</v>
      </c>
      <c r="B29" s="20"/>
      <c r="C29" s="20"/>
      <c r="D29" s="20"/>
      <c r="E29" s="20"/>
    </row>
    <row r="30" customFormat="false" ht="15" hidden="false" customHeight="false" outlineLevel="0" collapsed="false">
      <c r="A30" s="6" t="s">
        <v>591</v>
      </c>
      <c r="B30" s="15" t="s">
        <v>592</v>
      </c>
      <c r="C30" s="21" t="n">
        <v>312422</v>
      </c>
      <c r="D30" s="7" t="s">
        <v>96</v>
      </c>
      <c r="E30" s="15" t="s">
        <v>593</v>
      </c>
    </row>
    <row r="31" customFormat="false" ht="15" hidden="false" customHeight="false" outlineLevel="0" collapsed="false">
      <c r="A31" s="6" t="s">
        <v>594</v>
      </c>
      <c r="B31" s="15" t="s">
        <v>595</v>
      </c>
      <c r="C31" s="21" t="n">
        <v>1</v>
      </c>
      <c r="D31" s="7" t="s">
        <v>596</v>
      </c>
      <c r="E31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8" min="5" style="0" width="12"/>
    <col collapsed="false" customWidth="true" hidden="false" outlineLevel="0" max="9" min="9" style="0" width="10"/>
    <col collapsed="false" customWidth="true" hidden="false" outlineLevel="0" max="10" min="10" style="0" width="90"/>
  </cols>
  <sheetData>
    <row r="1" customFormat="false" ht="17.35" hidden="false" customHeight="false" outlineLevel="0" collapsed="false">
      <c r="A1" s="1" t="s">
        <v>597</v>
      </c>
    </row>
    <row r="2" customFormat="false" ht="15" hidden="false" customHeight="false" outlineLevel="0" collapsed="false">
      <c r="A2" s="2" t="s">
        <v>598</v>
      </c>
    </row>
    <row r="4" customFormat="false" ht="31.5" hidden="false" customHeight="true" outlineLevel="0" collapsed="false">
      <c r="A4" s="5" t="s">
        <v>17</v>
      </c>
      <c r="B4" s="5" t="s">
        <v>599</v>
      </c>
      <c r="C4" s="5" t="s">
        <v>600</v>
      </c>
      <c r="D4" s="5" t="s">
        <v>601</v>
      </c>
      <c r="E4" s="5" t="s">
        <v>602</v>
      </c>
      <c r="F4" s="5" t="s">
        <v>603</v>
      </c>
      <c r="G4" s="5" t="s">
        <v>604</v>
      </c>
      <c r="H4" s="5" t="s">
        <v>605</v>
      </c>
      <c r="I4" s="5" t="s">
        <v>606</v>
      </c>
      <c r="J4" s="5" t="s">
        <v>607</v>
      </c>
    </row>
    <row r="5" customFormat="false" ht="15" hidden="false" customHeight="false" outlineLevel="0" collapsed="false">
      <c r="A5" s="23" t="s">
        <v>608</v>
      </c>
      <c r="B5" s="23" t="s">
        <v>609</v>
      </c>
      <c r="C5" s="23" t="s">
        <v>117</v>
      </c>
      <c r="D5" s="23" t="n">
        <v>71</v>
      </c>
      <c r="E5" s="24" t="n">
        <v>0.489180013504262</v>
      </c>
      <c r="F5" s="24" t="n">
        <v>0.113659280934371</v>
      </c>
      <c r="G5" s="24" t="n">
        <v>0</v>
      </c>
      <c r="H5" s="24" t="n">
        <v>238.599998474121</v>
      </c>
      <c r="I5" s="25" t="n">
        <v>6.30000019073486</v>
      </c>
      <c r="J5" s="23" t="s">
        <v>610</v>
      </c>
    </row>
    <row r="6" customFormat="false" ht="15" hidden="false" customHeight="false" outlineLevel="0" collapsed="false">
      <c r="A6" s="23" t="s">
        <v>608</v>
      </c>
      <c r="B6" s="23" t="s">
        <v>609</v>
      </c>
      <c r="C6" s="23" t="s">
        <v>93</v>
      </c>
      <c r="D6" s="23" t="n">
        <v>32</v>
      </c>
      <c r="E6" s="24" t="n">
        <v>273.42936607793</v>
      </c>
      <c r="F6" s="24" t="n">
        <v>150.657184243202</v>
      </c>
      <c r="G6" s="24" t="n">
        <v>0</v>
      </c>
      <c r="H6" s="24" t="n">
        <v>0</v>
      </c>
      <c r="I6" s="25" t="n">
        <v>0.5</v>
      </c>
      <c r="J6" s="23" t="s">
        <v>611</v>
      </c>
    </row>
    <row r="7" customFormat="false" ht="15" hidden="false" customHeight="false" outlineLevel="0" collapsed="false">
      <c r="A7" s="23" t="s">
        <v>608</v>
      </c>
      <c r="B7" s="23" t="s">
        <v>609</v>
      </c>
      <c r="C7" s="23" t="s">
        <v>76</v>
      </c>
      <c r="D7" s="23" t="n">
        <v>7</v>
      </c>
      <c r="E7" s="24" t="n">
        <v>489.229443636882</v>
      </c>
      <c r="F7" s="24" t="n">
        <v>647.315832138062</v>
      </c>
      <c r="G7" s="24" t="n">
        <v>192.320611931384</v>
      </c>
      <c r="H7" s="24" t="n">
        <v>0</v>
      </c>
      <c r="I7" s="25" t="n">
        <v>-5.69999980926514</v>
      </c>
      <c r="J7" s="23" t="s">
        <v>612</v>
      </c>
    </row>
    <row r="8" customFormat="false" ht="15" hidden="false" customHeight="false" outlineLevel="0" collapsed="false">
      <c r="A8" s="23" t="s">
        <v>608</v>
      </c>
      <c r="B8" s="23" t="s">
        <v>609</v>
      </c>
      <c r="C8" s="23" t="s">
        <v>85</v>
      </c>
      <c r="D8" s="23" t="n">
        <v>58</v>
      </c>
      <c r="E8" s="24" t="n">
        <v>31.3290356283998</v>
      </c>
      <c r="F8" s="24" t="n">
        <v>28.726101577282</v>
      </c>
      <c r="G8" s="24" t="n">
        <v>448.800413829275</v>
      </c>
      <c r="H8" s="24" t="n">
        <v>0</v>
      </c>
      <c r="I8" s="25" t="n">
        <v>-5.19999980926514</v>
      </c>
      <c r="J8" s="23" t="s">
        <v>613</v>
      </c>
    </row>
    <row r="9" customFormat="false" ht="15" hidden="false" customHeight="false" outlineLevel="0" collapsed="false">
      <c r="A9" s="23" t="s">
        <v>608</v>
      </c>
      <c r="B9" s="23" t="s">
        <v>609</v>
      </c>
      <c r="C9" s="23" t="s">
        <v>81</v>
      </c>
      <c r="D9" s="23" t="n">
        <v>21</v>
      </c>
      <c r="E9" s="24" t="n">
        <v>224.803724268346</v>
      </c>
      <c r="F9" s="24" t="n">
        <v>511.138320922852</v>
      </c>
      <c r="G9" s="24" t="n">
        <v>736.250114601106</v>
      </c>
      <c r="H9" s="24" t="n">
        <v>0</v>
      </c>
      <c r="I9" s="25" t="n">
        <v>2.5</v>
      </c>
      <c r="J9" s="23" t="s">
        <v>614</v>
      </c>
    </row>
    <row r="10" customFormat="false" ht="15" hidden="false" customHeight="false" outlineLevel="0" collapsed="false">
      <c r="A10" s="23" t="s">
        <v>608</v>
      </c>
      <c r="B10" s="23" t="s">
        <v>609</v>
      </c>
      <c r="C10" s="23" t="s">
        <v>79</v>
      </c>
      <c r="D10" s="23" t="n">
        <v>42</v>
      </c>
      <c r="E10" s="24" t="n">
        <v>967.469832093182</v>
      </c>
      <c r="F10" s="24" t="n">
        <v>298.5625714981</v>
      </c>
      <c r="G10" s="24" t="n">
        <v>3532.08836336533</v>
      </c>
      <c r="H10" s="24" t="n">
        <v>0</v>
      </c>
      <c r="I10" s="25" t="n">
        <v>-5.19999980926514</v>
      </c>
      <c r="J10" s="23" t="s">
        <v>615</v>
      </c>
    </row>
    <row r="11" customFormat="false" ht="15" hidden="false" customHeight="false" outlineLevel="0" collapsed="false">
      <c r="A11" s="23" t="s">
        <v>608</v>
      </c>
      <c r="B11" s="23" t="s">
        <v>609</v>
      </c>
      <c r="C11" s="23" t="s">
        <v>166</v>
      </c>
      <c r="D11" s="23" t="n">
        <v>38</v>
      </c>
      <c r="E11" s="24" t="n">
        <v>41.3814496970613</v>
      </c>
      <c r="F11" s="24" t="n">
        <v>10.2599487304688</v>
      </c>
      <c r="G11" s="24" t="n">
        <v>0</v>
      </c>
      <c r="H11" s="24" t="n">
        <v>0</v>
      </c>
      <c r="I11" s="25" t="n">
        <v>-1.37000000476837</v>
      </c>
      <c r="J11" s="23" t="s">
        <v>616</v>
      </c>
    </row>
    <row r="12" customFormat="false" ht="15" hidden="false" customHeight="false" outlineLevel="0" collapsed="false">
      <c r="A12" s="23" t="s">
        <v>617</v>
      </c>
      <c r="B12" s="23" t="s">
        <v>618</v>
      </c>
      <c r="C12" s="23" t="s">
        <v>91</v>
      </c>
      <c r="D12" s="23" t="n">
        <v>17</v>
      </c>
      <c r="E12" s="24" t="n">
        <v>1104.27446890286</v>
      </c>
      <c r="F12" s="24" t="n">
        <v>5587.38746595383</v>
      </c>
      <c r="G12" s="24" t="n">
        <v>0</v>
      </c>
      <c r="H12" s="24" t="n">
        <v>0</v>
      </c>
      <c r="I12" s="25" t="n">
        <v>-2.20000004768372</v>
      </c>
      <c r="J12" s="23" t="s">
        <v>619</v>
      </c>
    </row>
    <row r="13" customFormat="false" ht="15" hidden="false" customHeight="false" outlineLevel="0" collapsed="false">
      <c r="A13" s="23" t="s">
        <v>617</v>
      </c>
      <c r="B13" s="23" t="s">
        <v>618</v>
      </c>
      <c r="C13" s="23" t="s">
        <v>117</v>
      </c>
      <c r="D13" s="23" t="n">
        <v>576</v>
      </c>
      <c r="E13" s="24" t="n">
        <v>4.54624770889421</v>
      </c>
      <c r="F13" s="24" t="n">
        <v>0.92142780451104</v>
      </c>
      <c r="G13" s="24" t="n">
        <v>0</v>
      </c>
      <c r="H13" s="24" t="n">
        <v>2243.19995117188</v>
      </c>
      <c r="I13" s="25" t="n">
        <v>4</v>
      </c>
      <c r="J13" s="23" t="s">
        <v>620</v>
      </c>
    </row>
    <row r="14" customFormat="false" ht="15" hidden="false" customHeight="false" outlineLevel="0" collapsed="false">
      <c r="A14" s="23" t="s">
        <v>617</v>
      </c>
      <c r="B14" s="23" t="s">
        <v>618</v>
      </c>
      <c r="C14" s="23" t="s">
        <v>93</v>
      </c>
      <c r="D14" s="23" t="n">
        <v>8</v>
      </c>
      <c r="E14" s="24" t="n">
        <v>317.31320806603</v>
      </c>
      <c r="F14" s="24" t="n">
        <v>403.366436004639</v>
      </c>
      <c r="G14" s="24" t="n">
        <v>0</v>
      </c>
      <c r="H14" s="24" t="n">
        <v>0</v>
      </c>
      <c r="I14" s="25" t="n">
        <v>-0.930000007152557</v>
      </c>
      <c r="J14" s="23" t="s">
        <v>621</v>
      </c>
    </row>
    <row r="15" customFormat="false" ht="15" hidden="false" customHeight="false" outlineLevel="0" collapsed="false">
      <c r="A15" s="23" t="s">
        <v>617</v>
      </c>
      <c r="B15" s="23" t="s">
        <v>618</v>
      </c>
      <c r="C15" s="23" t="s">
        <v>76</v>
      </c>
      <c r="D15" s="23" t="n">
        <v>86</v>
      </c>
      <c r="E15" s="24" t="n">
        <v>6012.3696050719</v>
      </c>
      <c r="F15" s="24" t="n">
        <v>6454.37940979004</v>
      </c>
      <c r="G15" s="24" t="n">
        <v>971.772770322859</v>
      </c>
      <c r="H15" s="24" t="n">
        <v>0</v>
      </c>
      <c r="I15" s="25" t="n">
        <v>-7.60000038146973</v>
      </c>
      <c r="J15" s="23" t="s">
        <v>622</v>
      </c>
    </row>
    <row r="16" customFormat="false" ht="15" hidden="false" customHeight="false" outlineLevel="0" collapsed="false">
      <c r="A16" s="23" t="s">
        <v>617</v>
      </c>
      <c r="B16" s="23" t="s">
        <v>618</v>
      </c>
      <c r="C16" s="23" t="s">
        <v>83</v>
      </c>
      <c r="D16" s="23" t="n">
        <v>88</v>
      </c>
      <c r="E16" s="24" t="n">
        <v>47.6064544690221</v>
      </c>
      <c r="F16" s="24" t="n">
        <v>20.8800315856934</v>
      </c>
      <c r="G16" s="24" t="n">
        <v>392.159959733486</v>
      </c>
      <c r="H16" s="24" t="n">
        <v>0</v>
      </c>
      <c r="I16" s="25" t="n">
        <v>-0.629999577999115</v>
      </c>
      <c r="J16" s="23" t="s">
        <v>623</v>
      </c>
    </row>
    <row r="17" customFormat="false" ht="15" hidden="false" customHeight="false" outlineLevel="0" collapsed="false">
      <c r="A17" s="23" t="s">
        <v>617</v>
      </c>
      <c r="B17" s="23" t="s">
        <v>618</v>
      </c>
      <c r="C17" s="23" t="s">
        <v>85</v>
      </c>
      <c r="D17" s="23" t="n">
        <v>18</v>
      </c>
      <c r="E17" s="24" t="n">
        <v>356.305652158638</v>
      </c>
      <c r="F17" s="24" t="n">
        <v>430.746971130371</v>
      </c>
      <c r="G17" s="24" t="n">
        <v>1897.82359125465</v>
      </c>
      <c r="H17" s="24" t="n">
        <v>0</v>
      </c>
      <c r="I17" s="25" t="n">
        <v>-0.929999589920044</v>
      </c>
      <c r="J17" s="23" t="s">
        <v>624</v>
      </c>
    </row>
    <row r="18" customFormat="false" ht="15" hidden="false" customHeight="false" outlineLevel="0" collapsed="false">
      <c r="A18" s="23" t="s">
        <v>617</v>
      </c>
      <c r="B18" s="23" t="s">
        <v>618</v>
      </c>
      <c r="C18" s="23" t="s">
        <v>81</v>
      </c>
      <c r="D18" s="23" t="n">
        <v>22</v>
      </c>
      <c r="E18" s="24" t="n">
        <v>267.21851161598</v>
      </c>
      <c r="F18" s="24" t="n">
        <v>1336.09250640869</v>
      </c>
      <c r="G18" s="24" t="n">
        <v>1750.95129676908</v>
      </c>
      <c r="H18" s="24" t="n">
        <v>0</v>
      </c>
      <c r="I18" s="25" t="n">
        <v>3.79999971389771</v>
      </c>
      <c r="J18" s="23" t="s">
        <v>625</v>
      </c>
    </row>
    <row r="19" customFormat="false" ht="15" hidden="false" customHeight="false" outlineLevel="0" collapsed="false">
      <c r="A19" s="23" t="s">
        <v>617</v>
      </c>
      <c r="B19" s="23" t="s">
        <v>618</v>
      </c>
      <c r="C19" s="23" t="s">
        <v>79</v>
      </c>
      <c r="D19" s="23" t="n">
        <v>175</v>
      </c>
      <c r="E19" s="24" t="n">
        <v>2144.73014940522</v>
      </c>
      <c r="F19" s="24" t="n">
        <v>646.911708977656</v>
      </c>
      <c r="G19" s="24" t="n">
        <v>10296.562044293</v>
      </c>
      <c r="H19" s="24" t="n">
        <v>0</v>
      </c>
      <c r="I19" s="25" t="n">
        <v>-7.30000066757202</v>
      </c>
      <c r="J19" s="23" t="s">
        <v>626</v>
      </c>
    </row>
    <row r="20" customFormat="false" ht="15" hidden="false" customHeight="false" outlineLevel="0" collapsed="false">
      <c r="A20" s="23" t="s">
        <v>617</v>
      </c>
      <c r="B20" s="23" t="s">
        <v>618</v>
      </c>
      <c r="C20" s="23" t="s">
        <v>166</v>
      </c>
      <c r="D20" s="23" t="n">
        <v>90</v>
      </c>
      <c r="E20" s="24" t="n">
        <v>64.0469499684566</v>
      </c>
      <c r="F20" s="24" t="n">
        <v>22.1997299194336</v>
      </c>
      <c r="G20" s="24" t="n">
        <v>0</v>
      </c>
      <c r="H20" s="24" t="n">
        <v>0</v>
      </c>
      <c r="I20" s="25" t="n">
        <v>-1.35000014305115</v>
      </c>
      <c r="J20" s="23" t="s">
        <v>627</v>
      </c>
    </row>
    <row r="21" customFormat="false" ht="15" hidden="false" customHeight="false" outlineLevel="0" collapsed="false">
      <c r="A21" s="23" t="s">
        <v>628</v>
      </c>
      <c r="B21" s="23" t="s">
        <v>629</v>
      </c>
      <c r="C21" s="23" t="s">
        <v>76</v>
      </c>
      <c r="D21" s="23" t="n">
        <v>14</v>
      </c>
      <c r="E21" s="24" t="n">
        <v>638.960715183298</v>
      </c>
      <c r="F21" s="24" t="n">
        <v>801.494983673096</v>
      </c>
      <c r="G21" s="24" t="n">
        <v>432.87385314703</v>
      </c>
      <c r="H21" s="24" t="n">
        <v>0</v>
      </c>
      <c r="I21" s="25" t="n">
        <v>-7.59999990463257</v>
      </c>
      <c r="J21" s="23" t="s">
        <v>630</v>
      </c>
    </row>
    <row r="22" customFormat="false" ht="15" hidden="false" customHeight="false" outlineLevel="0" collapsed="false">
      <c r="A22" s="23" t="s">
        <v>628</v>
      </c>
      <c r="B22" s="23" t="s">
        <v>629</v>
      </c>
      <c r="C22" s="23" t="s">
        <v>81</v>
      </c>
      <c r="D22" s="23" t="n">
        <v>2</v>
      </c>
      <c r="E22" s="24" t="n">
        <v>102.569156358824</v>
      </c>
      <c r="F22" s="24" t="n">
        <v>356.89720582962</v>
      </c>
      <c r="G22" s="24" t="n">
        <v>395.271599769592</v>
      </c>
      <c r="H22" s="24" t="n">
        <v>0</v>
      </c>
      <c r="I22" s="25" t="n">
        <v>3.20000004768372</v>
      </c>
      <c r="J22" s="23" t="s">
        <v>631</v>
      </c>
    </row>
    <row r="23" customFormat="false" ht="15" hidden="false" customHeight="false" outlineLevel="0" collapsed="false">
      <c r="A23" s="23" t="s">
        <v>628</v>
      </c>
      <c r="B23" s="23" t="s">
        <v>629</v>
      </c>
      <c r="C23" s="23" t="s">
        <v>79</v>
      </c>
      <c r="D23" s="23" t="n">
        <v>21</v>
      </c>
      <c r="E23" s="24" t="n">
        <v>1064.59329051988</v>
      </c>
      <c r="F23" s="24" t="n">
        <v>203.934409771115</v>
      </c>
      <c r="G23" s="24" t="n">
        <v>3169.2881717718</v>
      </c>
      <c r="H23" s="24" t="n">
        <v>0</v>
      </c>
      <c r="I23" s="25" t="n">
        <v>-6.59999990463257</v>
      </c>
      <c r="J23" s="23" t="s">
        <v>632</v>
      </c>
    </row>
    <row r="24" customFormat="false" ht="15" hidden="false" customHeight="false" outlineLevel="0" collapsed="false">
      <c r="A24" s="23" t="s">
        <v>628</v>
      </c>
      <c r="B24" s="23" t="s">
        <v>629</v>
      </c>
      <c r="C24" s="23" t="s">
        <v>166</v>
      </c>
      <c r="D24" s="23" t="n">
        <v>330</v>
      </c>
      <c r="E24" s="24" t="n">
        <v>47.0063335469458</v>
      </c>
      <c r="F24" s="24" t="n">
        <v>232.560357093811</v>
      </c>
      <c r="G24" s="24" t="n">
        <v>0</v>
      </c>
      <c r="H24" s="24" t="n">
        <v>0</v>
      </c>
      <c r="I24" s="25" t="n">
        <v>3.11999988555908</v>
      </c>
      <c r="J24" s="23" t="s">
        <v>633</v>
      </c>
    </row>
    <row r="25" customFormat="false" ht="15" hidden="false" customHeight="false" outlineLevel="0" collapsed="false">
      <c r="A25" s="23" t="s">
        <v>628</v>
      </c>
      <c r="B25" s="23" t="s">
        <v>634</v>
      </c>
      <c r="C25" s="23" t="s">
        <v>76</v>
      </c>
      <c r="D25" s="23" t="n">
        <v>2</v>
      </c>
      <c r="E25" s="24" t="n">
        <v>137.322147127968</v>
      </c>
      <c r="F25" s="24" t="n">
        <v>321.555351257324</v>
      </c>
      <c r="G25" s="24" t="n">
        <v>57.9920953810215</v>
      </c>
      <c r="H25" s="24" t="n">
        <v>0</v>
      </c>
      <c r="I25" s="25" t="n">
        <v>3.5</v>
      </c>
      <c r="J25" s="23" t="s">
        <v>635</v>
      </c>
    </row>
    <row r="26" customFormat="false" ht="15" hidden="false" customHeight="false" outlineLevel="0" collapsed="false">
      <c r="A26" s="23" t="s">
        <v>628</v>
      </c>
      <c r="B26" s="23" t="s">
        <v>634</v>
      </c>
      <c r="C26" s="23" t="s">
        <v>85</v>
      </c>
      <c r="D26" s="23" t="n">
        <v>9</v>
      </c>
      <c r="E26" s="24" t="n">
        <v>223.075597320702</v>
      </c>
      <c r="F26" s="24" t="n">
        <v>26.7586436271668</v>
      </c>
      <c r="G26" s="24" t="n">
        <v>121.180337816477</v>
      </c>
      <c r="H26" s="24" t="n">
        <v>0</v>
      </c>
      <c r="I26" s="25" t="n">
        <v>3.5</v>
      </c>
      <c r="J26" s="23" t="s">
        <v>636</v>
      </c>
    </row>
    <row r="27" customFormat="false" ht="15" hidden="false" customHeight="false" outlineLevel="0" collapsed="false">
      <c r="A27" s="23" t="s">
        <v>628</v>
      </c>
      <c r="B27" s="23" t="s">
        <v>634</v>
      </c>
      <c r="C27" s="23" t="s">
        <v>81</v>
      </c>
      <c r="D27" s="23" t="n">
        <v>2</v>
      </c>
      <c r="E27" s="24" t="n">
        <v>268.831195982296</v>
      </c>
      <c r="F27" s="24" t="n">
        <v>701.413146972656</v>
      </c>
      <c r="G27" s="24" t="n">
        <v>755.797998428345</v>
      </c>
      <c r="H27" s="24" t="n">
        <v>0</v>
      </c>
      <c r="I27" s="25" t="n">
        <v>3.5</v>
      </c>
      <c r="J27" s="23" t="s">
        <v>637</v>
      </c>
    </row>
    <row r="28" customFormat="false" ht="15" hidden="false" customHeight="false" outlineLevel="0" collapsed="false">
      <c r="A28" s="23" t="s">
        <v>628</v>
      </c>
      <c r="B28" s="23" t="s">
        <v>634</v>
      </c>
      <c r="C28" s="23" t="s">
        <v>79</v>
      </c>
      <c r="D28" s="23" t="n">
        <v>11</v>
      </c>
      <c r="E28" s="24" t="n">
        <v>363.505655083038</v>
      </c>
      <c r="F28" s="24" t="n">
        <v>92.7803587913513</v>
      </c>
      <c r="G28" s="24" t="n">
        <v>1471.56172988564</v>
      </c>
      <c r="H28" s="24" t="n">
        <v>0</v>
      </c>
      <c r="I28" s="25" t="n">
        <v>4.30000019073486</v>
      </c>
      <c r="J28" s="23" t="s">
        <v>638</v>
      </c>
    </row>
    <row r="29" customFormat="false" ht="15" hidden="false" customHeight="false" outlineLevel="0" collapsed="false">
      <c r="A29" s="23" t="s">
        <v>639</v>
      </c>
      <c r="B29" s="23" t="s">
        <v>640</v>
      </c>
      <c r="C29" s="23" t="s">
        <v>117</v>
      </c>
      <c r="D29" s="23" t="n">
        <v>1624</v>
      </c>
      <c r="E29" s="24" t="n">
        <v>15.9935807536791</v>
      </c>
      <c r="F29" s="24" t="n">
        <v>280.414388507605</v>
      </c>
      <c r="G29" s="24" t="n">
        <v>0</v>
      </c>
      <c r="H29" s="24" t="n">
        <v>6160.20013427734</v>
      </c>
      <c r="I29" s="25" t="n">
        <v>8.19999980926514</v>
      </c>
      <c r="J29" s="23" t="s">
        <v>641</v>
      </c>
    </row>
    <row r="30" customFormat="false" ht="15" hidden="false" customHeight="false" outlineLevel="0" collapsed="false">
      <c r="A30" s="23" t="s">
        <v>639</v>
      </c>
      <c r="B30" s="23" t="s">
        <v>640</v>
      </c>
      <c r="C30" s="23" t="s">
        <v>103</v>
      </c>
      <c r="D30" s="23" t="n">
        <v>3672</v>
      </c>
      <c r="E30" s="24" t="n">
        <v>4107.73411361851</v>
      </c>
      <c r="F30" s="24" t="n">
        <v>1011.75199478865</v>
      </c>
      <c r="G30" s="24" t="n">
        <v>0</v>
      </c>
      <c r="H30" s="24" t="n">
        <v>0</v>
      </c>
      <c r="I30" s="25" t="n">
        <v>-3.79999995231628</v>
      </c>
      <c r="J30" s="23" t="s">
        <v>642</v>
      </c>
    </row>
    <row r="31" customFormat="false" ht="15" hidden="false" customHeight="false" outlineLevel="0" collapsed="false">
      <c r="A31" s="23" t="s">
        <v>639</v>
      </c>
      <c r="B31" s="23" t="s">
        <v>640</v>
      </c>
      <c r="C31" s="23" t="s">
        <v>76</v>
      </c>
      <c r="D31" s="23" t="n">
        <v>14</v>
      </c>
      <c r="E31" s="24" t="n">
        <v>30119.8340056018</v>
      </c>
      <c r="F31" s="24" t="n">
        <v>33611.2716479302</v>
      </c>
      <c r="G31" s="24" t="n">
        <v>2128.15762664378</v>
      </c>
      <c r="H31" s="24" t="n">
        <v>0</v>
      </c>
      <c r="I31" s="25" t="n">
        <v>-3.09999990463257</v>
      </c>
      <c r="J31" s="23" t="s">
        <v>643</v>
      </c>
    </row>
    <row r="32" customFormat="false" ht="15" hidden="false" customHeight="false" outlineLevel="0" collapsed="false">
      <c r="A32" s="23" t="s">
        <v>639</v>
      </c>
      <c r="B32" s="23" t="s">
        <v>640</v>
      </c>
      <c r="C32" s="23" t="s">
        <v>83</v>
      </c>
      <c r="D32" s="23" t="n">
        <v>324</v>
      </c>
      <c r="E32" s="24" t="n">
        <v>209.085093529801</v>
      </c>
      <c r="F32" s="24" t="n">
        <v>70.9644092321396</v>
      </c>
      <c r="G32" s="24" t="n">
        <v>1722.28646224737</v>
      </c>
      <c r="H32" s="24" t="n">
        <v>0</v>
      </c>
      <c r="I32" s="25" t="n">
        <v>1.14999997615814</v>
      </c>
      <c r="J32" s="23" t="s">
        <v>644</v>
      </c>
    </row>
    <row r="33" customFormat="false" ht="15" hidden="false" customHeight="false" outlineLevel="0" collapsed="false">
      <c r="A33" s="23" t="s">
        <v>639</v>
      </c>
      <c r="B33" s="23" t="s">
        <v>640</v>
      </c>
      <c r="C33" s="23" t="s">
        <v>85</v>
      </c>
      <c r="D33" s="23" t="n">
        <v>118</v>
      </c>
      <c r="E33" s="24" t="n">
        <v>5183.786722178</v>
      </c>
      <c r="F33" s="24" t="n">
        <v>6045.35856512189</v>
      </c>
      <c r="G33" s="24" t="n">
        <v>20291.0683191773</v>
      </c>
      <c r="H33" s="24" t="n">
        <v>0</v>
      </c>
      <c r="I33" s="25" t="n">
        <v>1.14999997615814</v>
      </c>
      <c r="J33" s="23" t="s">
        <v>645</v>
      </c>
    </row>
    <row r="34" customFormat="false" ht="15" hidden="false" customHeight="false" outlineLevel="0" collapsed="false">
      <c r="A34" s="23" t="s">
        <v>639</v>
      </c>
      <c r="B34" s="23" t="s">
        <v>640</v>
      </c>
      <c r="C34" s="23" t="s">
        <v>81</v>
      </c>
      <c r="D34" s="23" t="n">
        <v>54</v>
      </c>
      <c r="E34" s="24" t="n">
        <v>764.281089524396</v>
      </c>
      <c r="F34" s="24" t="n">
        <v>3820.08829593658</v>
      </c>
      <c r="G34" s="24" t="n">
        <v>4805.0082854256</v>
      </c>
      <c r="H34" s="24" t="n">
        <v>0</v>
      </c>
      <c r="I34" s="25" t="n">
        <v>8</v>
      </c>
      <c r="J34" s="23" t="s">
        <v>646</v>
      </c>
    </row>
    <row r="35" customFormat="false" ht="15" hidden="false" customHeight="false" outlineLevel="0" collapsed="false">
      <c r="A35" s="23" t="s">
        <v>639</v>
      </c>
      <c r="B35" s="23" t="s">
        <v>640</v>
      </c>
      <c r="C35" s="23" t="s">
        <v>79</v>
      </c>
      <c r="D35" s="23" t="n">
        <v>91</v>
      </c>
      <c r="E35" s="24" t="n">
        <v>12805.6583120063</v>
      </c>
      <c r="F35" s="24" t="n">
        <v>2046.14873194695</v>
      </c>
      <c r="G35" s="24" t="n">
        <v>35541.1516747177</v>
      </c>
      <c r="H35" s="24" t="n">
        <v>0</v>
      </c>
      <c r="I35" s="25" t="n">
        <v>-2.70000004768372</v>
      </c>
      <c r="J35" s="23" t="s">
        <v>647</v>
      </c>
    </row>
    <row r="36" customFormat="false" ht="15" hidden="false" customHeight="false" outlineLevel="0" collapsed="false">
      <c r="A36" s="23" t="s">
        <v>639</v>
      </c>
      <c r="B36" s="23" t="s">
        <v>640</v>
      </c>
      <c r="C36" s="23" t="s">
        <v>166</v>
      </c>
      <c r="D36" s="23" t="n">
        <v>15</v>
      </c>
      <c r="E36" s="24" t="n">
        <v>8.60250452984256</v>
      </c>
      <c r="F36" s="24" t="n">
        <v>38.1002769470215</v>
      </c>
      <c r="G36" s="24" t="n">
        <v>0</v>
      </c>
      <c r="H36" s="24" t="n">
        <v>0</v>
      </c>
      <c r="I36" s="25" t="n">
        <v>0.800000011920929</v>
      </c>
      <c r="J36" s="23" t="s">
        <v>648</v>
      </c>
    </row>
    <row r="37" customFormat="false" ht="15" hidden="false" customHeight="false" outlineLevel="0" collapsed="false">
      <c r="A37" s="23" t="s">
        <v>649</v>
      </c>
      <c r="B37" s="23" t="s">
        <v>650</v>
      </c>
      <c r="C37" s="23" t="s">
        <v>91</v>
      </c>
      <c r="D37" s="23" t="n">
        <v>2</v>
      </c>
      <c r="E37" s="24" t="n">
        <v>74.0920600490562</v>
      </c>
      <c r="F37" s="24" t="n">
        <v>246.973724842072</v>
      </c>
      <c r="G37" s="24" t="n">
        <v>0</v>
      </c>
      <c r="H37" s="24" t="n">
        <v>0</v>
      </c>
      <c r="I37" s="25" t="n">
        <v>-5.69999980926514</v>
      </c>
      <c r="J37" s="23" t="s">
        <v>651</v>
      </c>
    </row>
    <row r="38" customFormat="false" ht="15" hidden="false" customHeight="false" outlineLevel="0" collapsed="false">
      <c r="A38" s="23" t="s">
        <v>649</v>
      </c>
      <c r="B38" s="23" t="s">
        <v>650</v>
      </c>
      <c r="C38" s="23" t="s">
        <v>117</v>
      </c>
      <c r="D38" s="23" t="n">
        <v>104</v>
      </c>
      <c r="E38" s="24" t="n">
        <v>0.385560539962124</v>
      </c>
      <c r="F38" s="24" t="n">
        <v>0.16638569033239</v>
      </c>
      <c r="G38" s="24" t="n">
        <v>0</v>
      </c>
      <c r="H38" s="24" t="n">
        <v>170.591794967651</v>
      </c>
      <c r="I38" s="25" t="n">
        <v>1</v>
      </c>
      <c r="J38" s="23" t="s">
        <v>652</v>
      </c>
    </row>
    <row r="39" customFormat="false" ht="15" hidden="false" customHeight="false" outlineLevel="0" collapsed="false">
      <c r="A39" s="23" t="s">
        <v>649</v>
      </c>
      <c r="B39" s="23" t="s">
        <v>650</v>
      </c>
      <c r="C39" s="23" t="s">
        <v>76</v>
      </c>
      <c r="D39" s="23" t="n">
        <v>2</v>
      </c>
      <c r="E39" s="24" t="n">
        <v>138.023170121931</v>
      </c>
      <c r="F39" s="24" t="n">
        <v>230.0386244806</v>
      </c>
      <c r="G39" s="24" t="n">
        <v>72.8501602299511</v>
      </c>
      <c r="H39" s="24" t="n">
        <v>0</v>
      </c>
      <c r="I39" s="25" t="n">
        <v>-5.40000009536743</v>
      </c>
      <c r="J39" s="23" t="s">
        <v>653</v>
      </c>
    </row>
    <row r="40" customFormat="false" ht="15" hidden="false" customHeight="false" outlineLevel="0" collapsed="false">
      <c r="A40" s="23" t="s">
        <v>649</v>
      </c>
      <c r="B40" s="23" t="s">
        <v>650</v>
      </c>
      <c r="C40" s="23" t="s">
        <v>85</v>
      </c>
      <c r="D40" s="23" t="n">
        <v>1</v>
      </c>
      <c r="E40" s="24" t="n">
        <v>124.756986196984</v>
      </c>
      <c r="F40" s="24" t="n">
        <v>13.5114840909373</v>
      </c>
      <c r="G40" s="24" t="n">
        <v>624.500698227275</v>
      </c>
      <c r="H40" s="24" t="n">
        <v>0</v>
      </c>
      <c r="I40" s="25" t="n">
        <v>-4.80000019073486</v>
      </c>
      <c r="J40" s="23" t="s">
        <v>654</v>
      </c>
    </row>
    <row r="41" customFormat="false" ht="15" hidden="false" customHeight="false" outlineLevel="0" collapsed="false">
      <c r="A41" s="23" t="s">
        <v>649</v>
      </c>
      <c r="B41" s="23" t="s">
        <v>650</v>
      </c>
      <c r="C41" s="23" t="s">
        <v>81</v>
      </c>
      <c r="D41" s="23" t="n">
        <v>11</v>
      </c>
      <c r="E41" s="24" t="n">
        <v>21.5829119311054</v>
      </c>
      <c r="F41" s="24" t="n">
        <v>80.0624332427979</v>
      </c>
      <c r="G41" s="24" t="n">
        <v>137.480777047575</v>
      </c>
      <c r="H41" s="24" t="n">
        <v>0</v>
      </c>
      <c r="I41" s="25" t="n">
        <v>1</v>
      </c>
      <c r="J41" s="23" t="s">
        <v>655</v>
      </c>
    </row>
    <row r="42" customFormat="false" ht="15" hidden="false" customHeight="false" outlineLevel="0" collapsed="false">
      <c r="A42" s="23" t="s">
        <v>649</v>
      </c>
      <c r="B42" s="23" t="s">
        <v>650</v>
      </c>
      <c r="C42" s="23" t="s">
        <v>79</v>
      </c>
      <c r="D42" s="23" t="n">
        <v>5</v>
      </c>
      <c r="E42" s="24" t="n">
        <v>117.276051188404</v>
      </c>
      <c r="F42" s="24" t="n">
        <v>26.2303455248475</v>
      </c>
      <c r="G42" s="24" t="n">
        <v>601.329781237058</v>
      </c>
      <c r="H42" s="24" t="n">
        <v>0</v>
      </c>
      <c r="I42" s="25" t="n">
        <v>1</v>
      </c>
      <c r="J42" s="23" t="s">
        <v>656</v>
      </c>
    </row>
    <row r="43" customFormat="false" ht="15" hidden="false" customHeight="false" outlineLevel="0" collapsed="false">
      <c r="A43" s="23" t="s">
        <v>649</v>
      </c>
      <c r="B43" s="23" t="s">
        <v>650</v>
      </c>
      <c r="C43" s="23" t="s">
        <v>166</v>
      </c>
      <c r="D43" s="23" t="n">
        <v>2</v>
      </c>
      <c r="E43" s="24" t="n">
        <v>3.55391595548696</v>
      </c>
      <c r="F43" s="24" t="n">
        <v>12.5999698638916</v>
      </c>
      <c r="G43" s="24" t="n">
        <v>0</v>
      </c>
      <c r="H43" s="24" t="n">
        <v>0</v>
      </c>
      <c r="I43" s="25" t="n">
        <v>1</v>
      </c>
      <c r="J43" s="23" t="s">
        <v>657</v>
      </c>
    </row>
    <row r="44" customFormat="false" ht="15" hidden="false" customHeight="false" outlineLevel="0" collapsed="false">
      <c r="A44" s="23" t="s">
        <v>649</v>
      </c>
      <c r="B44" s="23" t="s">
        <v>658</v>
      </c>
      <c r="C44" s="23" t="s">
        <v>91</v>
      </c>
      <c r="D44" s="23" t="n">
        <v>2</v>
      </c>
      <c r="E44" s="24" t="n">
        <v>74.0920766903775</v>
      </c>
      <c r="F44" s="24" t="n">
        <v>246.973744511604</v>
      </c>
      <c r="G44" s="24" t="n">
        <v>0</v>
      </c>
      <c r="H44" s="24" t="n">
        <v>0</v>
      </c>
      <c r="I44" s="25" t="n">
        <v>-5.69999980926514</v>
      </c>
      <c r="J44" s="23" t="s">
        <v>651</v>
      </c>
    </row>
    <row r="45" customFormat="false" ht="15" hidden="false" customHeight="false" outlineLevel="0" collapsed="false">
      <c r="A45" s="23" t="s">
        <v>649</v>
      </c>
      <c r="B45" s="23" t="s">
        <v>658</v>
      </c>
      <c r="C45" s="23" t="s">
        <v>117</v>
      </c>
      <c r="D45" s="23" t="n">
        <v>104</v>
      </c>
      <c r="E45" s="24" t="n">
        <v>0.385585127728694</v>
      </c>
      <c r="F45" s="24" t="n">
        <v>0.16640807769727</v>
      </c>
      <c r="G45" s="24" t="n">
        <v>0</v>
      </c>
      <c r="H45" s="24" t="n">
        <v>170.591794967651</v>
      </c>
      <c r="I45" s="25" t="n">
        <v>1</v>
      </c>
      <c r="J45" s="23" t="s">
        <v>652</v>
      </c>
    </row>
    <row r="46" customFormat="false" ht="15" hidden="false" customHeight="false" outlineLevel="0" collapsed="false">
      <c r="A46" s="23" t="s">
        <v>649</v>
      </c>
      <c r="B46" s="23" t="s">
        <v>658</v>
      </c>
      <c r="C46" s="23" t="s">
        <v>76</v>
      </c>
      <c r="D46" s="23" t="n">
        <v>2</v>
      </c>
      <c r="E46" s="24" t="n">
        <v>138.023151070213</v>
      </c>
      <c r="F46" s="24" t="n">
        <v>230.038642287429</v>
      </c>
      <c r="G46" s="24" t="n">
        <v>72.8501542955637</v>
      </c>
      <c r="H46" s="24" t="n">
        <v>0</v>
      </c>
      <c r="I46" s="25" t="n">
        <v>-5.40000009536743</v>
      </c>
      <c r="J46" s="23" t="s">
        <v>653</v>
      </c>
    </row>
    <row r="47" customFormat="false" ht="15" hidden="false" customHeight="false" outlineLevel="0" collapsed="false">
      <c r="A47" s="23" t="s">
        <v>649</v>
      </c>
      <c r="B47" s="23" t="s">
        <v>658</v>
      </c>
      <c r="C47" s="23" t="s">
        <v>85</v>
      </c>
      <c r="D47" s="23" t="n">
        <v>1</v>
      </c>
      <c r="E47" s="24" t="n">
        <v>124.756799628967</v>
      </c>
      <c r="F47" s="24" t="n">
        <v>13.5114489878761</v>
      </c>
      <c r="G47" s="24" t="n">
        <v>624.500834321225</v>
      </c>
      <c r="H47" s="24" t="n">
        <v>0</v>
      </c>
      <c r="I47" s="25" t="n">
        <v>-4.80000019073486</v>
      </c>
      <c r="J47" s="23" t="s">
        <v>654</v>
      </c>
    </row>
    <row r="48" customFormat="false" ht="15" hidden="false" customHeight="false" outlineLevel="0" collapsed="false">
      <c r="A48" s="23" t="s">
        <v>649</v>
      </c>
      <c r="B48" s="23" t="s">
        <v>658</v>
      </c>
      <c r="C48" s="23" t="s">
        <v>81</v>
      </c>
      <c r="D48" s="23" t="n">
        <v>11</v>
      </c>
      <c r="E48" s="24" t="n">
        <v>21.5829136947554</v>
      </c>
      <c r="F48" s="24" t="n">
        <v>80.0625123977661</v>
      </c>
      <c r="G48" s="24" t="n">
        <v>137.480787910521</v>
      </c>
      <c r="H48" s="24" t="n">
        <v>0</v>
      </c>
      <c r="I48" s="25" t="n">
        <v>1</v>
      </c>
      <c r="J48" s="23" t="s">
        <v>655</v>
      </c>
    </row>
    <row r="49" customFormat="false" ht="15" hidden="false" customHeight="false" outlineLevel="0" collapsed="false">
      <c r="A49" s="23" t="s">
        <v>649</v>
      </c>
      <c r="B49" s="23" t="s">
        <v>658</v>
      </c>
      <c r="C49" s="23" t="s">
        <v>79</v>
      </c>
      <c r="D49" s="23" t="n">
        <v>5</v>
      </c>
      <c r="E49" s="24" t="n">
        <v>117.276001128076</v>
      </c>
      <c r="F49" s="24" t="n">
        <v>26.2303072595969</v>
      </c>
      <c r="G49" s="24" t="n">
        <v>601.329899482895</v>
      </c>
      <c r="H49" s="24" t="n">
        <v>0</v>
      </c>
      <c r="I49" s="25" t="n">
        <v>1</v>
      </c>
      <c r="J49" s="23" t="s">
        <v>656</v>
      </c>
    </row>
    <row r="50" customFormat="false" ht="15" hidden="false" customHeight="false" outlineLevel="0" collapsed="false">
      <c r="A50" s="23" t="s">
        <v>649</v>
      </c>
      <c r="B50" s="23" t="s">
        <v>658</v>
      </c>
      <c r="C50" s="23" t="s">
        <v>166</v>
      </c>
      <c r="D50" s="23" t="n">
        <v>2</v>
      </c>
      <c r="E50" s="24" t="n">
        <v>3.55390789319622</v>
      </c>
      <c r="F50" s="24" t="n">
        <v>12.5999946594238</v>
      </c>
      <c r="G50" s="24" t="n">
        <v>0</v>
      </c>
      <c r="H50" s="24" t="n">
        <v>0</v>
      </c>
      <c r="I50" s="25" t="n">
        <v>1</v>
      </c>
      <c r="J50" s="23" t="s">
        <v>657</v>
      </c>
    </row>
    <row r="51" customFormat="false" ht="15" hidden="false" customHeight="false" outlineLevel="0" collapsed="false">
      <c r="A51" s="23" t="s">
        <v>649</v>
      </c>
      <c r="B51" s="23" t="s">
        <v>659</v>
      </c>
      <c r="C51" s="23" t="s">
        <v>91</v>
      </c>
      <c r="D51" s="23" t="n">
        <v>2</v>
      </c>
      <c r="E51" s="24" t="n">
        <v>74.0920831751697</v>
      </c>
      <c r="F51" s="24" t="n">
        <v>246.973727047443</v>
      </c>
      <c r="G51" s="24" t="n">
        <v>0</v>
      </c>
      <c r="H51" s="24" t="n">
        <v>0</v>
      </c>
      <c r="I51" s="25" t="n">
        <v>-5.69999980926514</v>
      </c>
      <c r="J51" s="23" t="s">
        <v>651</v>
      </c>
    </row>
    <row r="52" customFormat="false" ht="15" hidden="false" customHeight="false" outlineLevel="0" collapsed="false">
      <c r="A52" s="23" t="s">
        <v>649</v>
      </c>
      <c r="B52" s="23" t="s">
        <v>659</v>
      </c>
      <c r="C52" s="23" t="s">
        <v>117</v>
      </c>
      <c r="D52" s="23" t="n">
        <v>104</v>
      </c>
      <c r="E52" s="24" t="n">
        <v>0.385566361403628</v>
      </c>
      <c r="F52" s="24" t="n">
        <v>0.166379310481716</v>
      </c>
      <c r="G52" s="24" t="n">
        <v>0</v>
      </c>
      <c r="H52" s="24" t="n">
        <v>170.591794967651</v>
      </c>
      <c r="I52" s="25" t="n">
        <v>1</v>
      </c>
      <c r="J52" s="23" t="s">
        <v>652</v>
      </c>
    </row>
    <row r="53" customFormat="false" ht="15" hidden="false" customHeight="false" outlineLevel="0" collapsed="false">
      <c r="A53" s="23" t="s">
        <v>649</v>
      </c>
      <c r="B53" s="23" t="s">
        <v>659</v>
      </c>
      <c r="C53" s="23" t="s">
        <v>76</v>
      </c>
      <c r="D53" s="23" t="n">
        <v>2</v>
      </c>
      <c r="E53" s="24" t="n">
        <v>138.023182923295</v>
      </c>
      <c r="F53" s="24" t="n">
        <v>230.038692124479</v>
      </c>
      <c r="G53" s="24" t="n">
        <v>72.850169070065</v>
      </c>
      <c r="H53" s="24" t="n">
        <v>0</v>
      </c>
      <c r="I53" s="25" t="n">
        <v>-5.40000009536743</v>
      </c>
      <c r="J53" s="23" t="s">
        <v>653</v>
      </c>
    </row>
    <row r="54" customFormat="false" ht="15" hidden="false" customHeight="false" outlineLevel="0" collapsed="false">
      <c r="A54" s="23" t="s">
        <v>649</v>
      </c>
      <c r="B54" s="23" t="s">
        <v>659</v>
      </c>
      <c r="C54" s="23" t="s">
        <v>85</v>
      </c>
      <c r="D54" s="23" t="n">
        <v>1</v>
      </c>
      <c r="E54" s="24" t="n">
        <v>124.757236257738</v>
      </c>
      <c r="F54" s="24" t="n">
        <v>13.5114826971258</v>
      </c>
      <c r="G54" s="24" t="n">
        <v>624.501050398627</v>
      </c>
      <c r="H54" s="24" t="n">
        <v>0</v>
      </c>
      <c r="I54" s="25" t="n">
        <v>-4.80000019073486</v>
      </c>
      <c r="J54" s="23" t="s">
        <v>654</v>
      </c>
    </row>
    <row r="55" customFormat="false" ht="15" hidden="false" customHeight="false" outlineLevel="0" collapsed="false">
      <c r="A55" s="23" t="s">
        <v>649</v>
      </c>
      <c r="B55" s="23" t="s">
        <v>659</v>
      </c>
      <c r="C55" s="23" t="s">
        <v>81</v>
      </c>
      <c r="D55" s="23" t="n">
        <v>11</v>
      </c>
      <c r="E55" s="24" t="n">
        <v>21.5830421250507</v>
      </c>
      <c r="F55" s="24" t="n">
        <v>80.0629510879517</v>
      </c>
      <c r="G55" s="24" t="n">
        <v>137.481277786195</v>
      </c>
      <c r="H55" s="24" t="n">
        <v>0</v>
      </c>
      <c r="I55" s="25" t="n">
        <v>1</v>
      </c>
      <c r="J55" s="23" t="s">
        <v>655</v>
      </c>
    </row>
    <row r="56" customFormat="false" ht="15" hidden="false" customHeight="false" outlineLevel="0" collapsed="false">
      <c r="A56" s="23" t="s">
        <v>649</v>
      </c>
      <c r="B56" s="23" t="s">
        <v>659</v>
      </c>
      <c r="C56" s="23" t="s">
        <v>79</v>
      </c>
      <c r="D56" s="23" t="n">
        <v>5</v>
      </c>
      <c r="E56" s="24" t="n">
        <v>117.276238606698</v>
      </c>
      <c r="F56" s="24" t="n">
        <v>26.2303023785353</v>
      </c>
      <c r="G56" s="24" t="n">
        <v>601.330090125557</v>
      </c>
      <c r="H56" s="24" t="n">
        <v>0</v>
      </c>
      <c r="I56" s="25" t="n">
        <v>1</v>
      </c>
      <c r="J56" s="23" t="s">
        <v>656</v>
      </c>
    </row>
    <row r="57" customFormat="false" ht="15" hidden="false" customHeight="false" outlineLevel="0" collapsed="false">
      <c r="A57" s="23" t="s">
        <v>649</v>
      </c>
      <c r="B57" s="23" t="s">
        <v>659</v>
      </c>
      <c r="C57" s="23" t="s">
        <v>166</v>
      </c>
      <c r="D57" s="23" t="n">
        <v>2</v>
      </c>
      <c r="E57" s="24" t="n">
        <v>3.55391580870473</v>
      </c>
      <c r="F57" s="24" t="n">
        <v>12.5999934673309</v>
      </c>
      <c r="G57" s="24" t="n">
        <v>0</v>
      </c>
      <c r="H57" s="24" t="n">
        <v>0</v>
      </c>
      <c r="I57" s="25" t="n">
        <v>1</v>
      </c>
      <c r="J57" s="23" t="s">
        <v>657</v>
      </c>
    </row>
    <row r="58" customFormat="false" ht="15" hidden="false" customHeight="false" outlineLevel="0" collapsed="false">
      <c r="A58" s="23" t="s">
        <v>660</v>
      </c>
      <c r="B58" s="23" t="s">
        <v>661</v>
      </c>
      <c r="C58" s="23" t="s">
        <v>91</v>
      </c>
      <c r="D58" s="23" t="n">
        <v>6</v>
      </c>
      <c r="E58" s="24" t="n">
        <v>269.459099469923</v>
      </c>
      <c r="F58" s="24" t="n">
        <v>2696.12924528122</v>
      </c>
      <c r="G58" s="24" t="n">
        <v>0</v>
      </c>
      <c r="H58" s="24" t="n">
        <v>0</v>
      </c>
      <c r="I58" s="25" t="n">
        <v>-4.5</v>
      </c>
      <c r="J58" s="23" t="s">
        <v>662</v>
      </c>
    </row>
    <row r="59" customFormat="false" ht="15" hidden="false" customHeight="false" outlineLevel="0" collapsed="false">
      <c r="A59" s="23" t="s">
        <v>660</v>
      </c>
      <c r="B59" s="23" t="s">
        <v>661</v>
      </c>
      <c r="C59" s="23" t="s">
        <v>103</v>
      </c>
      <c r="D59" s="23" t="n">
        <v>213</v>
      </c>
      <c r="E59" s="24" t="n">
        <v>178.619214094357</v>
      </c>
      <c r="F59" s="24" t="n">
        <v>59.5398247241974</v>
      </c>
      <c r="G59" s="24" t="n">
        <v>0</v>
      </c>
      <c r="H59" s="24" t="n">
        <v>0</v>
      </c>
      <c r="I59" s="25" t="n">
        <v>-7.40000009536743</v>
      </c>
      <c r="J59" s="23" t="s">
        <v>663</v>
      </c>
    </row>
    <row r="60" customFormat="false" ht="15" hidden="false" customHeight="false" outlineLevel="0" collapsed="false">
      <c r="A60" s="23" t="s">
        <v>660</v>
      </c>
      <c r="B60" s="23" t="s">
        <v>661</v>
      </c>
      <c r="C60" s="23" t="s">
        <v>76</v>
      </c>
      <c r="D60" s="23" t="n">
        <v>8</v>
      </c>
      <c r="E60" s="24" t="n">
        <v>1861.51674656323</v>
      </c>
      <c r="F60" s="24" t="n">
        <v>2668.12154817581</v>
      </c>
      <c r="G60" s="24" t="n">
        <v>249.637173701078</v>
      </c>
      <c r="H60" s="24" t="n">
        <v>0</v>
      </c>
      <c r="I60" s="25" t="n">
        <v>-4.40000009536743</v>
      </c>
      <c r="J60" s="23" t="s">
        <v>664</v>
      </c>
    </row>
    <row r="61" customFormat="false" ht="15" hidden="false" customHeight="false" outlineLevel="0" collapsed="false">
      <c r="A61" s="23" t="s">
        <v>660</v>
      </c>
      <c r="B61" s="23" t="s">
        <v>661</v>
      </c>
      <c r="C61" s="23" t="s">
        <v>83</v>
      </c>
      <c r="D61" s="23" t="n">
        <v>12</v>
      </c>
      <c r="E61" s="24" t="n">
        <v>3.24140118032889</v>
      </c>
      <c r="F61" s="24" t="n">
        <v>5.40237236022949</v>
      </c>
      <c r="G61" s="24" t="n">
        <v>24.9568483047187</v>
      </c>
      <c r="H61" s="24" t="n">
        <v>0</v>
      </c>
      <c r="I61" s="25" t="n">
        <v>1.85000002384186</v>
      </c>
      <c r="J61" s="23" t="s">
        <v>665</v>
      </c>
    </row>
    <row r="62" customFormat="false" ht="15" hidden="false" customHeight="false" outlineLevel="0" collapsed="false">
      <c r="A62" s="23" t="s">
        <v>660</v>
      </c>
      <c r="B62" s="23" t="s">
        <v>661</v>
      </c>
      <c r="C62" s="23" t="s">
        <v>85</v>
      </c>
      <c r="D62" s="23" t="n">
        <v>12</v>
      </c>
      <c r="E62" s="24" t="n">
        <v>91.5341000209758</v>
      </c>
      <c r="F62" s="24" t="n">
        <v>147.16113948822</v>
      </c>
      <c r="G62" s="24" t="n">
        <v>365.367008026689</v>
      </c>
      <c r="H62" s="24" t="n">
        <v>0</v>
      </c>
      <c r="I62" s="25" t="n">
        <v>-3.90000009536743</v>
      </c>
      <c r="J62" s="23" t="s">
        <v>666</v>
      </c>
    </row>
    <row r="63" customFormat="false" ht="15" hidden="false" customHeight="false" outlineLevel="0" collapsed="false">
      <c r="A63" s="23" t="s">
        <v>660</v>
      </c>
      <c r="B63" s="23" t="s">
        <v>661</v>
      </c>
      <c r="C63" s="23" t="s">
        <v>81</v>
      </c>
      <c r="D63" s="23" t="n">
        <v>4</v>
      </c>
      <c r="E63" s="24" t="n">
        <v>88.3494717201624</v>
      </c>
      <c r="F63" s="24" t="n">
        <v>323.457880735397</v>
      </c>
      <c r="G63" s="24" t="n">
        <v>430.179802812636</v>
      </c>
      <c r="H63" s="24" t="n">
        <v>0</v>
      </c>
      <c r="I63" s="25" t="n">
        <v>2.45000004768372</v>
      </c>
      <c r="J63" s="23" t="s">
        <v>667</v>
      </c>
    </row>
    <row r="64" customFormat="false" ht="15" hidden="false" customHeight="false" outlineLevel="0" collapsed="false">
      <c r="A64" s="23" t="s">
        <v>660</v>
      </c>
      <c r="B64" s="23" t="s">
        <v>661</v>
      </c>
      <c r="C64" s="23" t="s">
        <v>79</v>
      </c>
      <c r="D64" s="23" t="n">
        <v>9</v>
      </c>
      <c r="E64" s="24" t="n">
        <v>675.483486677671</v>
      </c>
      <c r="F64" s="24" t="n">
        <v>321.652903852519</v>
      </c>
      <c r="G64" s="24" t="n">
        <v>2470.72624185061</v>
      </c>
      <c r="H64" s="24" t="n">
        <v>0</v>
      </c>
      <c r="I64" s="25" t="n">
        <v>-3.90000009536743</v>
      </c>
      <c r="J64" s="23" t="s">
        <v>668</v>
      </c>
    </row>
    <row r="65" customFormat="false" ht="15" hidden="false" customHeight="false" outlineLevel="0" collapsed="false">
      <c r="A65" s="23" t="s">
        <v>660</v>
      </c>
      <c r="B65" s="23" t="s">
        <v>661</v>
      </c>
      <c r="C65" s="23" t="s">
        <v>166</v>
      </c>
      <c r="D65" s="23" t="n">
        <v>29</v>
      </c>
      <c r="E65" s="24" t="n">
        <v>4.15831209053226</v>
      </c>
      <c r="F65" s="24" t="n">
        <v>10.9596691131592</v>
      </c>
      <c r="G65" s="24" t="n">
        <v>0</v>
      </c>
      <c r="H65" s="24" t="n">
        <v>0</v>
      </c>
      <c r="I65" s="25" t="n">
        <v>0.200000002980232</v>
      </c>
      <c r="J65" s="23" t="s">
        <v>669</v>
      </c>
    </row>
    <row r="66" customFormat="false" ht="15" hidden="false" customHeight="false" outlineLevel="0" collapsed="false">
      <c r="A66" s="23" t="s">
        <v>660</v>
      </c>
      <c r="B66" s="23" t="s">
        <v>670</v>
      </c>
      <c r="C66" s="23" t="s">
        <v>91</v>
      </c>
      <c r="D66" s="23" t="n">
        <v>6</v>
      </c>
      <c r="E66" s="24" t="n">
        <v>269.459076998877</v>
      </c>
      <c r="F66" s="24" t="n">
        <v>2696.12880975008</v>
      </c>
      <c r="G66" s="24" t="n">
        <v>0</v>
      </c>
      <c r="H66" s="24" t="n">
        <v>0</v>
      </c>
      <c r="I66" s="25" t="n">
        <v>-4.5</v>
      </c>
      <c r="J66" s="23" t="s">
        <v>662</v>
      </c>
    </row>
    <row r="67" customFormat="false" ht="15" hidden="false" customHeight="false" outlineLevel="0" collapsed="false">
      <c r="A67" s="23" t="s">
        <v>660</v>
      </c>
      <c r="B67" s="23" t="s">
        <v>670</v>
      </c>
      <c r="C67" s="23" t="s">
        <v>103</v>
      </c>
      <c r="D67" s="23" t="n">
        <v>213</v>
      </c>
      <c r="E67" s="24" t="n">
        <v>178.616599572707</v>
      </c>
      <c r="F67" s="24" t="n">
        <v>59.5389185547829</v>
      </c>
      <c r="G67" s="24" t="n">
        <v>0</v>
      </c>
      <c r="H67" s="24" t="n">
        <v>0</v>
      </c>
      <c r="I67" s="25" t="n">
        <v>-7.40000009536743</v>
      </c>
      <c r="J67" s="23" t="s">
        <v>663</v>
      </c>
    </row>
    <row r="68" customFormat="false" ht="15" hidden="false" customHeight="false" outlineLevel="0" collapsed="false">
      <c r="A68" s="23" t="s">
        <v>660</v>
      </c>
      <c r="B68" s="23" t="s">
        <v>670</v>
      </c>
      <c r="C68" s="23" t="s">
        <v>76</v>
      </c>
      <c r="D68" s="23" t="n">
        <v>8</v>
      </c>
      <c r="E68" s="24" t="n">
        <v>1861.51682639977</v>
      </c>
      <c r="F68" s="24" t="n">
        <v>2668.12149816752</v>
      </c>
      <c r="G68" s="24" t="n">
        <v>249.637165263295</v>
      </c>
      <c r="H68" s="24" t="n">
        <v>0</v>
      </c>
      <c r="I68" s="25" t="n">
        <v>-4.40000009536743</v>
      </c>
      <c r="J68" s="23" t="s">
        <v>664</v>
      </c>
    </row>
    <row r="69" customFormat="false" ht="15" hidden="false" customHeight="false" outlineLevel="0" collapsed="false">
      <c r="A69" s="23" t="s">
        <v>660</v>
      </c>
      <c r="B69" s="23" t="s">
        <v>670</v>
      </c>
      <c r="C69" s="23" t="s">
        <v>83</v>
      </c>
      <c r="D69" s="23" t="n">
        <v>12</v>
      </c>
      <c r="E69" s="24" t="n">
        <v>3.24140324507176</v>
      </c>
      <c r="F69" s="24" t="n">
        <v>5.40233564376831</v>
      </c>
      <c r="G69" s="24" t="n">
        <v>24.9568694084883</v>
      </c>
      <c r="H69" s="24" t="n">
        <v>0</v>
      </c>
      <c r="I69" s="25" t="n">
        <v>1.85000002384186</v>
      </c>
      <c r="J69" s="23" t="s">
        <v>665</v>
      </c>
    </row>
    <row r="70" customFormat="false" ht="15" hidden="false" customHeight="false" outlineLevel="0" collapsed="false">
      <c r="A70" s="23" t="s">
        <v>660</v>
      </c>
      <c r="B70" s="23" t="s">
        <v>670</v>
      </c>
      <c r="C70" s="23" t="s">
        <v>85</v>
      </c>
      <c r="D70" s="23" t="n">
        <v>12</v>
      </c>
      <c r="E70" s="24" t="n">
        <v>91.533766348117</v>
      </c>
      <c r="F70" s="24" t="n">
        <v>147.161042809486</v>
      </c>
      <c r="G70" s="24" t="n">
        <v>365.367437887937</v>
      </c>
      <c r="H70" s="24" t="n">
        <v>0</v>
      </c>
      <c r="I70" s="25" t="n">
        <v>-3.90000009536743</v>
      </c>
      <c r="J70" s="23" t="s">
        <v>666</v>
      </c>
    </row>
    <row r="71" customFormat="false" ht="15" hidden="false" customHeight="false" outlineLevel="0" collapsed="false">
      <c r="A71" s="23" t="s">
        <v>660</v>
      </c>
      <c r="B71" s="23" t="s">
        <v>670</v>
      </c>
      <c r="C71" s="23" t="s">
        <v>81</v>
      </c>
      <c r="D71" s="23" t="n">
        <v>4</v>
      </c>
      <c r="E71" s="24" t="n">
        <v>88.3494900112514</v>
      </c>
      <c r="F71" s="24" t="n">
        <v>323.457971930504</v>
      </c>
      <c r="G71" s="24" t="n">
        <v>430.179879464209</v>
      </c>
      <c r="H71" s="24" t="n">
        <v>0</v>
      </c>
      <c r="I71" s="25" t="n">
        <v>2.45000004768372</v>
      </c>
      <c r="J71" s="23" t="s">
        <v>667</v>
      </c>
    </row>
    <row r="72" customFormat="false" ht="15" hidden="false" customHeight="false" outlineLevel="0" collapsed="false">
      <c r="A72" s="23" t="s">
        <v>660</v>
      </c>
      <c r="B72" s="23" t="s">
        <v>670</v>
      </c>
      <c r="C72" s="23" t="s">
        <v>79</v>
      </c>
      <c r="D72" s="23" t="n">
        <v>9</v>
      </c>
      <c r="E72" s="24" t="n">
        <v>675.483664703603</v>
      </c>
      <c r="F72" s="24" t="n">
        <v>321.652993700001</v>
      </c>
      <c r="G72" s="24" t="n">
        <v>2470.72634843868</v>
      </c>
      <c r="H72" s="24" t="n">
        <v>0</v>
      </c>
      <c r="I72" s="25" t="n">
        <v>-3.90000009536743</v>
      </c>
      <c r="J72" s="23" t="s">
        <v>668</v>
      </c>
    </row>
    <row r="73" customFormat="false" ht="15" hidden="false" customHeight="false" outlineLevel="0" collapsed="false">
      <c r="A73" s="23" t="s">
        <v>660</v>
      </c>
      <c r="B73" s="23" t="s">
        <v>670</v>
      </c>
      <c r="C73" s="23" t="s">
        <v>166</v>
      </c>
      <c r="D73" s="23" t="n">
        <v>29</v>
      </c>
      <c r="E73" s="24" t="n">
        <v>4.15831310793551</v>
      </c>
      <c r="F73" s="24" t="n">
        <v>10.9596779346466</v>
      </c>
      <c r="G73" s="24" t="n">
        <v>0</v>
      </c>
      <c r="H73" s="24" t="n">
        <v>0</v>
      </c>
      <c r="I73" s="25" t="n">
        <v>0.200000002980232</v>
      </c>
      <c r="J73" s="23" t="s">
        <v>669</v>
      </c>
    </row>
    <row r="74" customFormat="false" ht="15" hidden="false" customHeight="false" outlineLevel="0" collapsed="false">
      <c r="A74" s="23" t="s">
        <v>660</v>
      </c>
      <c r="B74" s="23" t="s">
        <v>671</v>
      </c>
      <c r="C74" s="23" t="s">
        <v>91</v>
      </c>
      <c r="D74" s="23" t="n">
        <v>6</v>
      </c>
      <c r="E74" s="24" t="n">
        <v>269.45908604947</v>
      </c>
      <c r="F74" s="24" t="n">
        <v>2696.13014286757</v>
      </c>
      <c r="G74" s="24" t="n">
        <v>0</v>
      </c>
      <c r="H74" s="24" t="n">
        <v>0</v>
      </c>
      <c r="I74" s="25" t="n">
        <v>-4.5</v>
      </c>
      <c r="J74" s="23" t="s">
        <v>662</v>
      </c>
    </row>
    <row r="75" customFormat="false" ht="15" hidden="false" customHeight="false" outlineLevel="0" collapsed="false">
      <c r="A75" s="23" t="s">
        <v>660</v>
      </c>
      <c r="B75" s="23" t="s">
        <v>671</v>
      </c>
      <c r="C75" s="23" t="s">
        <v>103</v>
      </c>
      <c r="D75" s="23" t="n">
        <v>213</v>
      </c>
      <c r="E75" s="24" t="n">
        <v>178.617934509276</v>
      </c>
      <c r="F75" s="24" t="n">
        <v>59.5392742156982</v>
      </c>
      <c r="G75" s="24" t="n">
        <v>0</v>
      </c>
      <c r="H75" s="24" t="n">
        <v>0</v>
      </c>
      <c r="I75" s="25" t="n">
        <v>-7.40000009536743</v>
      </c>
      <c r="J75" s="23" t="s">
        <v>663</v>
      </c>
    </row>
    <row r="76" customFormat="false" ht="15" hidden="false" customHeight="false" outlineLevel="0" collapsed="false">
      <c r="A76" s="23" t="s">
        <v>660</v>
      </c>
      <c r="B76" s="23" t="s">
        <v>671</v>
      </c>
      <c r="C76" s="23" t="s">
        <v>76</v>
      </c>
      <c r="D76" s="23" t="n">
        <v>8</v>
      </c>
      <c r="E76" s="24" t="n">
        <v>1861.51684289184</v>
      </c>
      <c r="F76" s="24" t="n">
        <v>2668.12220019102</v>
      </c>
      <c r="G76" s="24" t="n">
        <v>249.637187369168</v>
      </c>
      <c r="H76" s="24" t="n">
        <v>0</v>
      </c>
      <c r="I76" s="25" t="n">
        <v>-4.40000009536743</v>
      </c>
      <c r="J76" s="23" t="s">
        <v>664</v>
      </c>
    </row>
    <row r="77" customFormat="false" ht="15" hidden="false" customHeight="false" outlineLevel="0" collapsed="false">
      <c r="A77" s="23" t="s">
        <v>660</v>
      </c>
      <c r="B77" s="23" t="s">
        <v>671</v>
      </c>
      <c r="C77" s="23" t="s">
        <v>83</v>
      </c>
      <c r="D77" s="23" t="n">
        <v>12</v>
      </c>
      <c r="E77" s="24" t="n">
        <v>3.2414135068959</v>
      </c>
      <c r="F77" s="24" t="n">
        <v>5.40232181549072</v>
      </c>
      <c r="G77" s="24" t="n">
        <v>24.9569784998894</v>
      </c>
      <c r="H77" s="24" t="n">
        <v>0</v>
      </c>
      <c r="I77" s="25" t="n">
        <v>1.85000002384186</v>
      </c>
      <c r="J77" s="23" t="s">
        <v>665</v>
      </c>
    </row>
    <row r="78" customFormat="false" ht="15" hidden="false" customHeight="false" outlineLevel="0" collapsed="false">
      <c r="A78" s="23" t="s">
        <v>660</v>
      </c>
      <c r="B78" s="23" t="s">
        <v>671</v>
      </c>
      <c r="C78" s="23" t="s">
        <v>85</v>
      </c>
      <c r="D78" s="23" t="n">
        <v>12</v>
      </c>
      <c r="E78" s="24" t="n">
        <v>91.5334776999236</v>
      </c>
      <c r="F78" s="24" t="n">
        <v>147.160950899124</v>
      </c>
      <c r="G78" s="24" t="n">
        <v>365.367061901838</v>
      </c>
      <c r="H78" s="24" t="n">
        <v>0</v>
      </c>
      <c r="I78" s="25" t="n">
        <v>-3.90000009536743</v>
      </c>
      <c r="J78" s="23" t="s">
        <v>666</v>
      </c>
    </row>
    <row r="79" customFormat="false" ht="15" hidden="false" customHeight="false" outlineLevel="0" collapsed="false">
      <c r="A79" s="23" t="s">
        <v>660</v>
      </c>
      <c r="B79" s="23" t="s">
        <v>671</v>
      </c>
      <c r="C79" s="23" t="s">
        <v>81</v>
      </c>
      <c r="D79" s="23" t="n">
        <v>4</v>
      </c>
      <c r="E79" s="24" t="n">
        <v>88.3495056098085</v>
      </c>
      <c r="F79" s="24" t="n">
        <v>323.458527088165</v>
      </c>
      <c r="G79" s="24" t="n">
        <v>430.180406266823</v>
      </c>
      <c r="H79" s="24" t="n">
        <v>0</v>
      </c>
      <c r="I79" s="25" t="n">
        <v>2.45000004768372</v>
      </c>
      <c r="J79" s="23" t="s">
        <v>667</v>
      </c>
    </row>
    <row r="80" customFormat="false" ht="15" hidden="false" customHeight="false" outlineLevel="0" collapsed="false">
      <c r="A80" s="23" t="s">
        <v>660</v>
      </c>
      <c r="B80" s="23" t="s">
        <v>671</v>
      </c>
      <c r="C80" s="23" t="s">
        <v>79</v>
      </c>
      <c r="D80" s="23" t="n">
        <v>9</v>
      </c>
      <c r="E80" s="24" t="n">
        <v>675.483771124501</v>
      </c>
      <c r="F80" s="24" t="n">
        <v>321.652957253624</v>
      </c>
      <c r="G80" s="24" t="n">
        <v>2470.72648525742</v>
      </c>
      <c r="H80" s="24" t="n">
        <v>0</v>
      </c>
      <c r="I80" s="25" t="n">
        <v>-3.90000009536743</v>
      </c>
      <c r="J80" s="23" t="s">
        <v>668</v>
      </c>
    </row>
    <row r="81" customFormat="false" ht="15" hidden="false" customHeight="false" outlineLevel="0" collapsed="false">
      <c r="A81" s="23" t="s">
        <v>660</v>
      </c>
      <c r="B81" s="23" t="s">
        <v>671</v>
      </c>
      <c r="C81" s="23" t="s">
        <v>166</v>
      </c>
      <c r="D81" s="23" t="n">
        <v>29</v>
      </c>
      <c r="E81" s="24" t="n">
        <v>4.15831037252522</v>
      </c>
      <c r="F81" s="24" t="n">
        <v>10.9596672058106</v>
      </c>
      <c r="G81" s="24" t="n">
        <v>0</v>
      </c>
      <c r="H81" s="24" t="n">
        <v>0</v>
      </c>
      <c r="I81" s="25" t="n">
        <v>0.200000002980232</v>
      </c>
      <c r="J81" s="23" t="s">
        <v>669</v>
      </c>
    </row>
    <row r="82" customFormat="false" ht="15" hidden="false" customHeight="false" outlineLevel="0" collapsed="false">
      <c r="A82" s="23" t="s">
        <v>660</v>
      </c>
      <c r="B82" s="23" t="s">
        <v>672</v>
      </c>
      <c r="C82" s="23" t="s">
        <v>91</v>
      </c>
      <c r="D82" s="23" t="n">
        <v>6</v>
      </c>
      <c r="E82" s="24" t="n">
        <v>269.459092469394</v>
      </c>
      <c r="F82" s="24" t="n">
        <v>2696.13084501028</v>
      </c>
      <c r="G82" s="24" t="n">
        <v>0</v>
      </c>
      <c r="H82" s="24" t="n">
        <v>0</v>
      </c>
      <c r="I82" s="25" t="n">
        <v>-4.5</v>
      </c>
      <c r="J82" s="23" t="s">
        <v>662</v>
      </c>
    </row>
    <row r="83" customFormat="false" ht="15" hidden="false" customHeight="false" outlineLevel="0" collapsed="false">
      <c r="A83" s="23" t="s">
        <v>660</v>
      </c>
      <c r="B83" s="23" t="s">
        <v>672</v>
      </c>
      <c r="C83" s="23" t="s">
        <v>103</v>
      </c>
      <c r="D83" s="23" t="n">
        <v>213</v>
      </c>
      <c r="E83" s="24" t="n">
        <v>178.618486434195</v>
      </c>
      <c r="F83" s="24" t="n">
        <v>59.5396518707275</v>
      </c>
      <c r="G83" s="24" t="n">
        <v>0</v>
      </c>
      <c r="H83" s="24" t="n">
        <v>0</v>
      </c>
      <c r="I83" s="25" t="n">
        <v>-7.40000009536743</v>
      </c>
      <c r="J83" s="23" t="s">
        <v>663</v>
      </c>
    </row>
    <row r="84" customFormat="false" ht="15" hidden="false" customHeight="false" outlineLevel="0" collapsed="false">
      <c r="A84" s="23" t="s">
        <v>660</v>
      </c>
      <c r="B84" s="23" t="s">
        <v>672</v>
      </c>
      <c r="C84" s="23" t="s">
        <v>76</v>
      </c>
      <c r="D84" s="23" t="n">
        <v>8</v>
      </c>
      <c r="E84" s="24" t="n">
        <v>1861.51689118703</v>
      </c>
      <c r="F84" s="24" t="n">
        <v>2668.12319558859</v>
      </c>
      <c r="G84" s="24" t="n">
        <v>249.637178950012</v>
      </c>
      <c r="H84" s="24" t="n">
        <v>0</v>
      </c>
      <c r="I84" s="25" t="n">
        <v>-4.40000009536743</v>
      </c>
      <c r="J84" s="23" t="s">
        <v>664</v>
      </c>
    </row>
    <row r="85" customFormat="false" ht="15" hidden="false" customHeight="false" outlineLevel="0" collapsed="false">
      <c r="A85" s="23" t="s">
        <v>660</v>
      </c>
      <c r="B85" s="23" t="s">
        <v>672</v>
      </c>
      <c r="C85" s="23" t="s">
        <v>83</v>
      </c>
      <c r="D85" s="23" t="n">
        <v>12</v>
      </c>
      <c r="E85" s="24" t="n">
        <v>3.24140734368375</v>
      </c>
      <c r="F85" s="24" t="n">
        <v>5.40235805511475</v>
      </c>
      <c r="G85" s="24" t="n">
        <v>24.9568960443139</v>
      </c>
      <c r="H85" s="24" t="n">
        <v>0</v>
      </c>
      <c r="I85" s="25" t="n">
        <v>1.85000002384186</v>
      </c>
      <c r="J85" s="23" t="s">
        <v>665</v>
      </c>
    </row>
    <row r="86" customFormat="false" ht="15" hidden="false" customHeight="false" outlineLevel="0" collapsed="false">
      <c r="A86" s="23" t="s">
        <v>660</v>
      </c>
      <c r="B86" s="23" t="s">
        <v>672</v>
      </c>
      <c r="C86" s="23" t="s">
        <v>85</v>
      </c>
      <c r="D86" s="23" t="n">
        <v>12</v>
      </c>
      <c r="E86" s="24" t="n">
        <v>91.5336242681497</v>
      </c>
      <c r="F86" s="24" t="n">
        <v>147.161305189133</v>
      </c>
      <c r="G86" s="24" t="n">
        <v>365.36712625064</v>
      </c>
      <c r="H86" s="24" t="n">
        <v>0</v>
      </c>
      <c r="I86" s="25" t="n">
        <v>-3.90000009536743</v>
      </c>
      <c r="J86" s="23" t="s">
        <v>666</v>
      </c>
    </row>
    <row r="87" customFormat="false" ht="15" hidden="false" customHeight="false" outlineLevel="0" collapsed="false">
      <c r="A87" s="23" t="s">
        <v>660</v>
      </c>
      <c r="B87" s="23" t="s">
        <v>672</v>
      </c>
      <c r="C87" s="23" t="s">
        <v>81</v>
      </c>
      <c r="D87" s="23" t="n">
        <v>4</v>
      </c>
      <c r="E87" s="24" t="n">
        <v>88.3494782270937</v>
      </c>
      <c r="F87" s="24" t="n">
        <v>323.458177089691</v>
      </c>
      <c r="G87" s="24" t="n">
        <v>430.180057235062</v>
      </c>
      <c r="H87" s="24" t="n">
        <v>0</v>
      </c>
      <c r="I87" s="25" t="n">
        <v>2.45000004768372</v>
      </c>
      <c r="J87" s="23" t="s">
        <v>667</v>
      </c>
    </row>
    <row r="88" customFormat="false" ht="15" hidden="false" customHeight="false" outlineLevel="0" collapsed="false">
      <c r="A88" s="23" t="s">
        <v>660</v>
      </c>
      <c r="B88" s="23" t="s">
        <v>672</v>
      </c>
      <c r="C88" s="23" t="s">
        <v>79</v>
      </c>
      <c r="D88" s="23" t="n">
        <v>9</v>
      </c>
      <c r="E88" s="24" t="n">
        <v>675.483393419653</v>
      </c>
      <c r="F88" s="24" t="n">
        <v>321.652639091946</v>
      </c>
      <c r="G88" s="24" t="n">
        <v>2470.7259792359</v>
      </c>
      <c r="H88" s="24" t="n">
        <v>0</v>
      </c>
      <c r="I88" s="25" t="n">
        <v>-3.90000009536743</v>
      </c>
      <c r="J88" s="23" t="s">
        <v>668</v>
      </c>
    </row>
    <row r="89" customFormat="false" ht="15" hidden="false" customHeight="false" outlineLevel="0" collapsed="false">
      <c r="A89" s="23" t="s">
        <v>660</v>
      </c>
      <c r="B89" s="23" t="s">
        <v>672</v>
      </c>
      <c r="C89" s="23" t="s">
        <v>166</v>
      </c>
      <c r="D89" s="23" t="n">
        <v>29</v>
      </c>
      <c r="E89" s="24" t="n">
        <v>4.15830223798179</v>
      </c>
      <c r="F89" s="24" t="n">
        <v>10.959662437439</v>
      </c>
      <c r="G89" s="24" t="n">
        <v>0</v>
      </c>
      <c r="H89" s="24" t="n">
        <v>0</v>
      </c>
      <c r="I89" s="25" t="n">
        <v>0.200000002980232</v>
      </c>
      <c r="J89" s="23" t="s">
        <v>669</v>
      </c>
    </row>
    <row r="90" customFormat="false" ht="15" hidden="false" customHeight="false" outlineLevel="0" collapsed="false">
      <c r="A90" s="23" t="s">
        <v>660</v>
      </c>
      <c r="B90" s="23" t="s">
        <v>673</v>
      </c>
      <c r="C90" s="23" t="s">
        <v>91</v>
      </c>
      <c r="D90" s="23" t="n">
        <v>6</v>
      </c>
      <c r="E90" s="24" t="n">
        <v>269.459091706993</v>
      </c>
      <c r="F90" s="24" t="n">
        <v>2696.12927424908</v>
      </c>
      <c r="G90" s="24" t="n">
        <v>0</v>
      </c>
      <c r="H90" s="24" t="n">
        <v>0</v>
      </c>
      <c r="I90" s="25" t="n">
        <v>-4.5</v>
      </c>
      <c r="J90" s="23" t="s">
        <v>662</v>
      </c>
    </row>
    <row r="91" customFormat="false" ht="15" hidden="false" customHeight="false" outlineLevel="0" collapsed="false">
      <c r="A91" s="23" t="s">
        <v>660</v>
      </c>
      <c r="B91" s="23" t="s">
        <v>673</v>
      </c>
      <c r="C91" s="23" t="s">
        <v>103</v>
      </c>
      <c r="D91" s="23" t="n">
        <v>213</v>
      </c>
      <c r="E91" s="24" t="n">
        <v>178.618176529378</v>
      </c>
      <c r="F91" s="24" t="n">
        <v>59.5393371582031</v>
      </c>
      <c r="G91" s="24" t="n">
        <v>0</v>
      </c>
      <c r="H91" s="24" t="n">
        <v>0</v>
      </c>
      <c r="I91" s="25" t="n">
        <v>-7.40000009536743</v>
      </c>
      <c r="J91" s="23" t="s">
        <v>663</v>
      </c>
    </row>
    <row r="92" customFormat="false" ht="15" hidden="false" customHeight="false" outlineLevel="0" collapsed="false">
      <c r="A92" s="23" t="s">
        <v>660</v>
      </c>
      <c r="B92" s="23" t="s">
        <v>673</v>
      </c>
      <c r="C92" s="23" t="s">
        <v>76</v>
      </c>
      <c r="D92" s="23" t="n">
        <v>8</v>
      </c>
      <c r="E92" s="24" t="n">
        <v>1861.51688277266</v>
      </c>
      <c r="F92" s="24" t="n">
        <v>2668.12166059017</v>
      </c>
      <c r="G92" s="24" t="n">
        <v>249.637175794691</v>
      </c>
      <c r="H92" s="24" t="n">
        <v>0</v>
      </c>
      <c r="I92" s="25" t="n">
        <v>-4.40000009536743</v>
      </c>
      <c r="J92" s="23" t="s">
        <v>664</v>
      </c>
    </row>
    <row r="93" customFormat="false" ht="15" hidden="false" customHeight="false" outlineLevel="0" collapsed="false">
      <c r="A93" s="23" t="s">
        <v>660</v>
      </c>
      <c r="B93" s="23" t="s">
        <v>673</v>
      </c>
      <c r="C93" s="23" t="s">
        <v>83</v>
      </c>
      <c r="D93" s="23" t="n">
        <v>12</v>
      </c>
      <c r="E93" s="24" t="n">
        <v>3.24140734368314</v>
      </c>
      <c r="F93" s="24" t="n">
        <v>5.40238285064697</v>
      </c>
      <c r="G93" s="24" t="n">
        <v>24.9569208361208</v>
      </c>
      <c r="H93" s="24" t="n">
        <v>0</v>
      </c>
      <c r="I93" s="25" t="n">
        <v>1.85000002384186</v>
      </c>
      <c r="J93" s="23" t="s">
        <v>665</v>
      </c>
    </row>
    <row r="94" customFormat="false" ht="15" hidden="false" customHeight="false" outlineLevel="0" collapsed="false">
      <c r="A94" s="23" t="s">
        <v>660</v>
      </c>
      <c r="B94" s="23" t="s">
        <v>673</v>
      </c>
      <c r="C94" s="23" t="s">
        <v>85</v>
      </c>
      <c r="D94" s="23" t="n">
        <v>12</v>
      </c>
      <c r="E94" s="24" t="n">
        <v>91.5336174507334</v>
      </c>
      <c r="F94" s="24" t="n">
        <v>147.161228179932</v>
      </c>
      <c r="G94" s="24" t="n">
        <v>365.366942126304</v>
      </c>
      <c r="H94" s="24" t="n">
        <v>0</v>
      </c>
      <c r="I94" s="25" t="n">
        <v>-3.90000009536743</v>
      </c>
      <c r="J94" s="23" t="s">
        <v>666</v>
      </c>
    </row>
    <row r="95" customFormat="false" ht="15" hidden="false" customHeight="false" outlineLevel="0" collapsed="false">
      <c r="A95" s="23" t="s">
        <v>660</v>
      </c>
      <c r="B95" s="23" t="s">
        <v>673</v>
      </c>
      <c r="C95" s="23" t="s">
        <v>81</v>
      </c>
      <c r="D95" s="23" t="n">
        <v>4</v>
      </c>
      <c r="E95" s="24" t="n">
        <v>88.3494702383848</v>
      </c>
      <c r="F95" s="24" t="n">
        <v>323.457939624786</v>
      </c>
      <c r="G95" s="24" t="n">
        <v>430.179926427081</v>
      </c>
      <c r="H95" s="24" t="n">
        <v>0</v>
      </c>
      <c r="I95" s="25" t="n">
        <v>2.45000004768372</v>
      </c>
      <c r="J95" s="23" t="s">
        <v>667</v>
      </c>
    </row>
    <row r="96" customFormat="false" ht="15" hidden="false" customHeight="false" outlineLevel="0" collapsed="false">
      <c r="A96" s="23" t="s">
        <v>660</v>
      </c>
      <c r="B96" s="23" t="s">
        <v>673</v>
      </c>
      <c r="C96" s="23" t="s">
        <v>79</v>
      </c>
      <c r="D96" s="23" t="n">
        <v>9</v>
      </c>
      <c r="E96" s="24" t="n">
        <v>675.483149966377</v>
      </c>
      <c r="F96" s="24" t="n">
        <v>321.652881222311</v>
      </c>
      <c r="G96" s="24" t="n">
        <v>2470.72603968921</v>
      </c>
      <c r="H96" s="24" t="n">
        <v>0</v>
      </c>
      <c r="I96" s="25" t="n">
        <v>-3.90000009536743</v>
      </c>
      <c r="J96" s="23" t="s">
        <v>668</v>
      </c>
    </row>
    <row r="97" customFormat="false" ht="15" hidden="false" customHeight="false" outlineLevel="0" collapsed="false">
      <c r="A97" s="23" t="s">
        <v>660</v>
      </c>
      <c r="B97" s="23" t="s">
        <v>673</v>
      </c>
      <c r="C97" s="23" t="s">
        <v>166</v>
      </c>
      <c r="D97" s="23" t="n">
        <v>29</v>
      </c>
      <c r="E97" s="24" t="n">
        <v>4.1583005199879</v>
      </c>
      <c r="F97" s="24" t="n">
        <v>10.9596605300903</v>
      </c>
      <c r="G97" s="24" t="n">
        <v>0</v>
      </c>
      <c r="H97" s="24" t="n">
        <v>0</v>
      </c>
      <c r="I97" s="25" t="n">
        <v>0.200000002980232</v>
      </c>
      <c r="J97" s="23" t="s">
        <v>669</v>
      </c>
    </row>
    <row r="98" customFormat="false" ht="15" hidden="false" customHeight="false" outlineLevel="0" collapsed="false">
      <c r="A98" s="23" t="s">
        <v>660</v>
      </c>
      <c r="B98" s="23" t="s">
        <v>674</v>
      </c>
      <c r="C98" s="23" t="s">
        <v>91</v>
      </c>
      <c r="D98" s="23" t="n">
        <v>6</v>
      </c>
      <c r="E98" s="24" t="n">
        <v>269.459104869526</v>
      </c>
      <c r="F98" s="24" t="n">
        <v>2696.12934744358</v>
      </c>
      <c r="G98" s="24" t="n">
        <v>0</v>
      </c>
      <c r="H98" s="24" t="n">
        <v>0</v>
      </c>
      <c r="I98" s="25" t="n">
        <v>-4.5</v>
      </c>
      <c r="J98" s="23" t="s">
        <v>662</v>
      </c>
    </row>
    <row r="99" customFormat="false" ht="15" hidden="false" customHeight="false" outlineLevel="0" collapsed="false">
      <c r="A99" s="23" t="s">
        <v>660</v>
      </c>
      <c r="B99" s="23" t="s">
        <v>674</v>
      </c>
      <c r="C99" s="23" t="s">
        <v>103</v>
      </c>
      <c r="D99" s="23" t="n">
        <v>213</v>
      </c>
      <c r="E99" s="24" t="n">
        <v>178.618307715569</v>
      </c>
      <c r="F99" s="24" t="n">
        <v>59.5395941734314</v>
      </c>
      <c r="G99" s="24" t="n">
        <v>0</v>
      </c>
      <c r="H99" s="24" t="n">
        <v>0</v>
      </c>
      <c r="I99" s="25" t="n">
        <v>-7.40000009536743</v>
      </c>
      <c r="J99" s="23" t="s">
        <v>663</v>
      </c>
    </row>
    <row r="100" customFormat="false" ht="15" hidden="false" customHeight="false" outlineLevel="0" collapsed="false">
      <c r="A100" s="23" t="s">
        <v>660</v>
      </c>
      <c r="B100" s="23" t="s">
        <v>674</v>
      </c>
      <c r="C100" s="23" t="s">
        <v>76</v>
      </c>
      <c r="D100" s="23" t="n">
        <v>8</v>
      </c>
      <c r="E100" s="24" t="n">
        <v>1861.51676576907</v>
      </c>
      <c r="F100" s="24" t="n">
        <v>2668.12165844441</v>
      </c>
      <c r="G100" s="24" t="n">
        <v>249.637171141803</v>
      </c>
      <c r="H100" s="24" t="n">
        <v>0</v>
      </c>
      <c r="I100" s="25" t="n">
        <v>-4.40000009536743</v>
      </c>
      <c r="J100" s="23" t="s">
        <v>664</v>
      </c>
    </row>
    <row r="101" customFormat="false" ht="15" hidden="false" customHeight="false" outlineLevel="0" collapsed="false">
      <c r="A101" s="23" t="s">
        <v>660</v>
      </c>
      <c r="B101" s="23" t="s">
        <v>674</v>
      </c>
      <c r="C101" s="23" t="s">
        <v>83</v>
      </c>
      <c r="D101" s="23" t="n">
        <v>12</v>
      </c>
      <c r="E101" s="24" t="n">
        <v>3.2413990182519</v>
      </c>
      <c r="F101" s="24" t="n">
        <v>5.40234184265137</v>
      </c>
      <c r="G101" s="24" t="n">
        <v>24.956794038415</v>
      </c>
      <c r="H101" s="24" t="n">
        <v>0</v>
      </c>
      <c r="I101" s="25" t="n">
        <v>1.85000002384186</v>
      </c>
      <c r="J101" s="23" t="s">
        <v>665</v>
      </c>
    </row>
    <row r="102" customFormat="false" ht="15" hidden="false" customHeight="false" outlineLevel="0" collapsed="false">
      <c r="A102" s="23" t="s">
        <v>660</v>
      </c>
      <c r="B102" s="23" t="s">
        <v>674</v>
      </c>
      <c r="C102" s="23" t="s">
        <v>85</v>
      </c>
      <c r="D102" s="23" t="n">
        <v>12</v>
      </c>
      <c r="E102" s="24" t="n">
        <v>91.5341340602432</v>
      </c>
      <c r="F102" s="24" t="n">
        <v>147.161225438118</v>
      </c>
      <c r="G102" s="24" t="n">
        <v>365.367200523615</v>
      </c>
      <c r="H102" s="24" t="n">
        <v>0</v>
      </c>
      <c r="I102" s="25" t="n">
        <v>-3.90000009536743</v>
      </c>
      <c r="J102" s="23" t="s">
        <v>666</v>
      </c>
    </row>
    <row r="103" customFormat="false" ht="15" hidden="false" customHeight="false" outlineLevel="0" collapsed="false">
      <c r="A103" s="23" t="s">
        <v>660</v>
      </c>
      <c r="B103" s="23" t="s">
        <v>674</v>
      </c>
      <c r="C103" s="23" t="s">
        <v>81</v>
      </c>
      <c r="D103" s="23" t="n">
        <v>4</v>
      </c>
      <c r="E103" s="24" t="n">
        <v>88.3494747937037</v>
      </c>
      <c r="F103" s="24" t="n">
        <v>323.458012700081</v>
      </c>
      <c r="G103" s="24" t="n">
        <v>430.179946647957</v>
      </c>
      <c r="H103" s="24" t="n">
        <v>0</v>
      </c>
      <c r="I103" s="25" t="n">
        <v>2.45000004768372</v>
      </c>
      <c r="J103" s="23" t="s">
        <v>667</v>
      </c>
    </row>
    <row r="104" customFormat="false" ht="15" hidden="false" customHeight="false" outlineLevel="0" collapsed="false">
      <c r="A104" s="23" t="s">
        <v>660</v>
      </c>
      <c r="B104" s="23" t="s">
        <v>674</v>
      </c>
      <c r="C104" s="23" t="s">
        <v>79</v>
      </c>
      <c r="D104" s="23" t="n">
        <v>9</v>
      </c>
      <c r="E104" s="24" t="n">
        <v>675.483360724097</v>
      </c>
      <c r="F104" s="24" t="n">
        <v>321.652756000869</v>
      </c>
      <c r="G104" s="24" t="n">
        <v>2470.72641646231</v>
      </c>
      <c r="H104" s="24" t="n">
        <v>0</v>
      </c>
      <c r="I104" s="25" t="n">
        <v>-3.90000009536743</v>
      </c>
      <c r="J104" s="23" t="s">
        <v>668</v>
      </c>
    </row>
    <row r="105" customFormat="false" ht="15" hidden="false" customHeight="false" outlineLevel="0" collapsed="false">
      <c r="A105" s="23" t="s">
        <v>660</v>
      </c>
      <c r="B105" s="23" t="s">
        <v>674</v>
      </c>
      <c r="C105" s="23" t="s">
        <v>166</v>
      </c>
      <c r="D105" s="23" t="n">
        <v>29</v>
      </c>
      <c r="E105" s="24" t="n">
        <v>4.15831170241406</v>
      </c>
      <c r="F105" s="24" t="n">
        <v>10.9596793651581</v>
      </c>
      <c r="G105" s="24" t="n">
        <v>0</v>
      </c>
      <c r="H105" s="24" t="n">
        <v>0</v>
      </c>
      <c r="I105" s="25" t="n">
        <v>0.200000002980232</v>
      </c>
      <c r="J105" s="23" t="s">
        <v>669</v>
      </c>
    </row>
    <row r="106" customFormat="false" ht="15" hidden="false" customHeight="false" outlineLevel="0" collapsed="false">
      <c r="A106" s="23" t="s">
        <v>660</v>
      </c>
      <c r="B106" s="23" t="s">
        <v>675</v>
      </c>
      <c r="C106" s="23" t="s">
        <v>91</v>
      </c>
      <c r="D106" s="23" t="n">
        <v>6</v>
      </c>
      <c r="E106" s="24" t="n">
        <v>269.459075495652</v>
      </c>
      <c r="F106" s="24" t="n">
        <v>2696.12723553181</v>
      </c>
      <c r="G106" s="24" t="n">
        <v>0</v>
      </c>
      <c r="H106" s="24" t="n">
        <v>0</v>
      </c>
      <c r="I106" s="25" t="n">
        <v>-4.5</v>
      </c>
      <c r="J106" s="23" t="s">
        <v>662</v>
      </c>
    </row>
    <row r="107" customFormat="false" ht="15" hidden="false" customHeight="false" outlineLevel="0" collapsed="false">
      <c r="A107" s="23" t="s">
        <v>660</v>
      </c>
      <c r="B107" s="23" t="s">
        <v>675</v>
      </c>
      <c r="C107" s="23" t="s">
        <v>103</v>
      </c>
      <c r="D107" s="23" t="n">
        <v>213</v>
      </c>
      <c r="E107" s="24" t="n">
        <v>178.618097788228</v>
      </c>
      <c r="F107" s="24" t="n">
        <v>59.5395202636719</v>
      </c>
      <c r="G107" s="24" t="n">
        <v>0</v>
      </c>
      <c r="H107" s="24" t="n">
        <v>0</v>
      </c>
      <c r="I107" s="25" t="n">
        <v>-7.40000009536743</v>
      </c>
      <c r="J107" s="23" t="s">
        <v>663</v>
      </c>
    </row>
    <row r="108" customFormat="false" ht="15" hidden="false" customHeight="false" outlineLevel="0" collapsed="false">
      <c r="A108" s="23" t="s">
        <v>660</v>
      </c>
      <c r="B108" s="23" t="s">
        <v>675</v>
      </c>
      <c r="C108" s="23" t="s">
        <v>76</v>
      </c>
      <c r="D108" s="23" t="n">
        <v>8</v>
      </c>
      <c r="E108" s="24" t="n">
        <v>1861.51682670425</v>
      </c>
      <c r="F108" s="24" t="n">
        <v>2668.11993944645</v>
      </c>
      <c r="G108" s="24" t="n">
        <v>249.63719092682</v>
      </c>
      <c r="H108" s="24" t="n">
        <v>0</v>
      </c>
      <c r="I108" s="25" t="n">
        <v>-4.40000009536743</v>
      </c>
      <c r="J108" s="23" t="s">
        <v>664</v>
      </c>
    </row>
    <row r="109" customFormat="false" ht="15" hidden="false" customHeight="false" outlineLevel="0" collapsed="false">
      <c r="A109" s="23" t="s">
        <v>660</v>
      </c>
      <c r="B109" s="23" t="s">
        <v>675</v>
      </c>
      <c r="C109" s="23" t="s">
        <v>83</v>
      </c>
      <c r="D109" s="23" t="n">
        <v>12</v>
      </c>
      <c r="E109" s="24" t="n">
        <v>3.24141042529076</v>
      </c>
      <c r="F109" s="24" t="n">
        <v>5.40237808227539</v>
      </c>
      <c r="G109" s="24" t="n">
        <v>24.9569157622755</v>
      </c>
      <c r="H109" s="24" t="n">
        <v>0</v>
      </c>
      <c r="I109" s="25" t="n">
        <v>1.85000002384186</v>
      </c>
      <c r="J109" s="23" t="s">
        <v>665</v>
      </c>
    </row>
    <row r="110" customFormat="false" ht="15" hidden="false" customHeight="false" outlineLevel="0" collapsed="false">
      <c r="A110" s="23" t="s">
        <v>660</v>
      </c>
      <c r="B110" s="23" t="s">
        <v>675</v>
      </c>
      <c r="C110" s="23" t="s">
        <v>85</v>
      </c>
      <c r="D110" s="23" t="n">
        <v>12</v>
      </c>
      <c r="E110" s="24" t="n">
        <v>91.5338590110314</v>
      </c>
      <c r="F110" s="24" t="n">
        <v>147.162192344666</v>
      </c>
      <c r="G110" s="24" t="n">
        <v>365.367082342506</v>
      </c>
      <c r="H110" s="24" t="n">
        <v>0</v>
      </c>
      <c r="I110" s="25" t="n">
        <v>-3.90000009536743</v>
      </c>
      <c r="J110" s="23" t="s">
        <v>666</v>
      </c>
    </row>
    <row r="111" customFormat="false" ht="15" hidden="false" customHeight="false" outlineLevel="0" collapsed="false">
      <c r="A111" s="23" t="s">
        <v>660</v>
      </c>
      <c r="B111" s="23" t="s">
        <v>675</v>
      </c>
      <c r="C111" s="23" t="s">
        <v>81</v>
      </c>
      <c r="D111" s="23" t="n">
        <v>4</v>
      </c>
      <c r="E111" s="24" t="n">
        <v>88.349501754867</v>
      </c>
      <c r="F111" s="24" t="n">
        <v>323.457736968994</v>
      </c>
      <c r="G111" s="24" t="n">
        <v>430.179790075868</v>
      </c>
      <c r="H111" s="24" t="n">
        <v>0</v>
      </c>
      <c r="I111" s="25" t="n">
        <v>2.45000004768372</v>
      </c>
      <c r="J111" s="23" t="s">
        <v>667</v>
      </c>
    </row>
    <row r="112" customFormat="false" ht="15" hidden="false" customHeight="false" outlineLevel="0" collapsed="false">
      <c r="A112" s="23" t="s">
        <v>660</v>
      </c>
      <c r="B112" s="23" t="s">
        <v>675</v>
      </c>
      <c r="C112" s="23" t="s">
        <v>79</v>
      </c>
      <c r="D112" s="23" t="n">
        <v>9</v>
      </c>
      <c r="E112" s="24" t="n">
        <v>675.483710168816</v>
      </c>
      <c r="F112" s="24" t="n">
        <v>321.653180499561</v>
      </c>
      <c r="G112" s="24" t="n">
        <v>2470.72641811776</v>
      </c>
      <c r="H112" s="24" t="n">
        <v>0</v>
      </c>
      <c r="I112" s="25" t="n">
        <v>-3.90000009536743</v>
      </c>
      <c r="J112" s="23" t="s">
        <v>668</v>
      </c>
    </row>
    <row r="113" customFormat="false" ht="15" hidden="false" customHeight="false" outlineLevel="0" collapsed="false">
      <c r="A113" s="23" t="s">
        <v>660</v>
      </c>
      <c r="B113" s="23" t="s">
        <v>675</v>
      </c>
      <c r="C113" s="23" t="s">
        <v>166</v>
      </c>
      <c r="D113" s="23" t="n">
        <v>29</v>
      </c>
      <c r="E113" s="24" t="n">
        <v>4.15831177811929</v>
      </c>
      <c r="F113" s="24" t="n">
        <v>10.9596652984619</v>
      </c>
      <c r="G113" s="24" t="n">
        <v>0</v>
      </c>
      <c r="H113" s="24" t="n">
        <v>0</v>
      </c>
      <c r="I113" s="25" t="n">
        <v>0.200000002980232</v>
      </c>
      <c r="J113" s="23" t="s">
        <v>669</v>
      </c>
    </row>
    <row r="114" customFormat="false" ht="15" hidden="false" customHeight="false" outlineLevel="0" collapsed="false">
      <c r="A114" s="23" t="s">
        <v>660</v>
      </c>
      <c r="B114" s="23" t="s">
        <v>676</v>
      </c>
      <c r="C114" s="23" t="s">
        <v>91</v>
      </c>
      <c r="D114" s="23" t="n">
        <v>6</v>
      </c>
      <c r="E114" s="24" t="n">
        <v>269.459095568227</v>
      </c>
      <c r="F114" s="24" t="n">
        <v>2696.12945312262</v>
      </c>
      <c r="G114" s="24" t="n">
        <v>0</v>
      </c>
      <c r="H114" s="24" t="n">
        <v>0</v>
      </c>
      <c r="I114" s="25" t="n">
        <v>-4.5</v>
      </c>
      <c r="J114" s="23" t="s">
        <v>662</v>
      </c>
    </row>
    <row r="115" customFormat="false" ht="15" hidden="false" customHeight="false" outlineLevel="0" collapsed="false">
      <c r="A115" s="23" t="s">
        <v>660</v>
      </c>
      <c r="B115" s="23" t="s">
        <v>676</v>
      </c>
      <c r="C115" s="23" t="s">
        <v>103</v>
      </c>
      <c r="D115" s="23" t="n">
        <v>213</v>
      </c>
      <c r="E115" s="24" t="n">
        <v>178.619047482548</v>
      </c>
      <c r="F115" s="24" t="n">
        <v>59.5396633148193</v>
      </c>
      <c r="G115" s="24" t="n">
        <v>0</v>
      </c>
      <c r="H115" s="24" t="n">
        <v>0</v>
      </c>
      <c r="I115" s="25" t="n">
        <v>-7.40000009536743</v>
      </c>
      <c r="J115" s="23" t="s">
        <v>663</v>
      </c>
    </row>
    <row r="116" customFormat="false" ht="15" hidden="false" customHeight="false" outlineLevel="0" collapsed="false">
      <c r="A116" s="23" t="s">
        <v>660</v>
      </c>
      <c r="B116" s="23" t="s">
        <v>676</v>
      </c>
      <c r="C116" s="23" t="s">
        <v>76</v>
      </c>
      <c r="D116" s="23" t="n">
        <v>8</v>
      </c>
      <c r="E116" s="24" t="n">
        <v>1861.51675566502</v>
      </c>
      <c r="F116" s="24" t="n">
        <v>2668.12186616659</v>
      </c>
      <c r="G116" s="24" t="n">
        <v>249.637182649225</v>
      </c>
      <c r="H116" s="24" t="n">
        <v>0</v>
      </c>
      <c r="I116" s="25" t="n">
        <v>-4.40000009536743</v>
      </c>
      <c r="J116" s="23" t="s">
        <v>664</v>
      </c>
    </row>
    <row r="117" customFormat="false" ht="15" hidden="false" customHeight="false" outlineLevel="0" collapsed="false">
      <c r="A117" s="23" t="s">
        <v>660</v>
      </c>
      <c r="B117" s="23" t="s">
        <v>676</v>
      </c>
      <c r="C117" s="23" t="s">
        <v>83</v>
      </c>
      <c r="D117" s="23" t="n">
        <v>12</v>
      </c>
      <c r="E117" s="24" t="n">
        <v>3.24140118032887</v>
      </c>
      <c r="F117" s="24" t="n">
        <v>5.40234184265137</v>
      </c>
      <c r="G117" s="24" t="n">
        <v>24.9567958414555</v>
      </c>
      <c r="H117" s="24" t="n">
        <v>0</v>
      </c>
      <c r="I117" s="25" t="n">
        <v>1.85000002384186</v>
      </c>
      <c r="J117" s="23" t="s">
        <v>665</v>
      </c>
    </row>
    <row r="118" customFormat="false" ht="15" hidden="false" customHeight="false" outlineLevel="0" collapsed="false">
      <c r="A118" s="23" t="s">
        <v>660</v>
      </c>
      <c r="B118" s="23" t="s">
        <v>676</v>
      </c>
      <c r="C118" s="23" t="s">
        <v>85</v>
      </c>
      <c r="D118" s="23" t="n">
        <v>12</v>
      </c>
      <c r="E118" s="24" t="n">
        <v>91.5343387317174</v>
      </c>
      <c r="F118" s="24" t="n">
        <v>147.16118824482</v>
      </c>
      <c r="G118" s="24" t="n">
        <v>365.36721409671</v>
      </c>
      <c r="H118" s="24" t="n">
        <v>0</v>
      </c>
      <c r="I118" s="25" t="n">
        <v>-3.90000009536743</v>
      </c>
      <c r="J118" s="23" t="s">
        <v>666</v>
      </c>
    </row>
    <row r="119" customFormat="false" ht="15" hidden="false" customHeight="false" outlineLevel="0" collapsed="false">
      <c r="A119" s="23" t="s">
        <v>660</v>
      </c>
      <c r="B119" s="23" t="s">
        <v>676</v>
      </c>
      <c r="C119" s="23" t="s">
        <v>81</v>
      </c>
      <c r="D119" s="23" t="n">
        <v>4</v>
      </c>
      <c r="E119" s="24" t="n">
        <v>88.3494786869385</v>
      </c>
      <c r="F119" s="24" t="n">
        <v>323.457881450653</v>
      </c>
      <c r="G119" s="24" t="n">
        <v>430.179724881426</v>
      </c>
      <c r="H119" s="24" t="n">
        <v>0</v>
      </c>
      <c r="I119" s="25" t="n">
        <v>2.45000004768372</v>
      </c>
      <c r="J119" s="23" t="s">
        <v>667</v>
      </c>
    </row>
    <row r="120" customFormat="false" ht="15" hidden="false" customHeight="false" outlineLevel="0" collapsed="false">
      <c r="A120" s="23" t="s">
        <v>660</v>
      </c>
      <c r="B120" s="23" t="s">
        <v>676</v>
      </c>
      <c r="C120" s="23" t="s">
        <v>79</v>
      </c>
      <c r="D120" s="23" t="n">
        <v>9</v>
      </c>
      <c r="E120" s="24" t="n">
        <v>675.483767868169</v>
      </c>
      <c r="F120" s="24" t="n">
        <v>321.653029919136</v>
      </c>
      <c r="G120" s="24" t="n">
        <v>2470.72634144806</v>
      </c>
      <c r="H120" s="24" t="n">
        <v>0</v>
      </c>
      <c r="I120" s="25" t="n">
        <v>-3.90000009536743</v>
      </c>
      <c r="J120" s="23" t="s">
        <v>668</v>
      </c>
    </row>
    <row r="121" customFormat="false" ht="15" hidden="false" customHeight="false" outlineLevel="0" collapsed="false">
      <c r="A121" s="23" t="s">
        <v>660</v>
      </c>
      <c r="B121" s="23" t="s">
        <v>676</v>
      </c>
      <c r="C121" s="23" t="s">
        <v>166</v>
      </c>
      <c r="D121" s="23" t="n">
        <v>29</v>
      </c>
      <c r="E121" s="24" t="n">
        <v>4.15830960061005</v>
      </c>
      <c r="F121" s="24" t="n">
        <v>10.9596672058106</v>
      </c>
      <c r="G121" s="24" t="n">
        <v>0</v>
      </c>
      <c r="H121" s="24" t="n">
        <v>0</v>
      </c>
      <c r="I121" s="25" t="n">
        <v>0.200000002980232</v>
      </c>
      <c r="J121" s="23" t="s">
        <v>669</v>
      </c>
    </row>
    <row r="122" customFormat="false" ht="15" hidden="false" customHeight="false" outlineLevel="0" collapsed="false">
      <c r="A122" s="23" t="s">
        <v>660</v>
      </c>
      <c r="B122" s="23" t="s">
        <v>677</v>
      </c>
      <c r="C122" s="23" t="s">
        <v>91</v>
      </c>
      <c r="D122" s="23" t="n">
        <v>6</v>
      </c>
      <c r="E122" s="24" t="n">
        <v>269.459090321551</v>
      </c>
      <c r="F122" s="24" t="n">
        <v>2696.12917670608</v>
      </c>
      <c r="G122" s="24" t="n">
        <v>0</v>
      </c>
      <c r="H122" s="24" t="n">
        <v>0</v>
      </c>
      <c r="I122" s="25" t="n">
        <v>-4.5</v>
      </c>
      <c r="J122" s="23" t="s">
        <v>662</v>
      </c>
    </row>
    <row r="123" customFormat="false" ht="15" hidden="false" customHeight="false" outlineLevel="0" collapsed="false">
      <c r="A123" s="23" t="s">
        <v>660</v>
      </c>
      <c r="B123" s="23" t="s">
        <v>677</v>
      </c>
      <c r="C123" s="23" t="s">
        <v>103</v>
      </c>
      <c r="D123" s="23" t="n">
        <v>213</v>
      </c>
      <c r="E123" s="24" t="n">
        <v>178.616455730608</v>
      </c>
      <c r="F123" s="24" t="n">
        <v>59.5389193892479</v>
      </c>
      <c r="G123" s="24" t="n">
        <v>0</v>
      </c>
      <c r="H123" s="24" t="n">
        <v>0</v>
      </c>
      <c r="I123" s="25" t="n">
        <v>-7.40000009536743</v>
      </c>
      <c r="J123" s="23" t="s">
        <v>663</v>
      </c>
    </row>
    <row r="124" customFormat="false" ht="15" hidden="false" customHeight="false" outlineLevel="0" collapsed="false">
      <c r="A124" s="23" t="s">
        <v>660</v>
      </c>
      <c r="B124" s="23" t="s">
        <v>677</v>
      </c>
      <c r="C124" s="23" t="s">
        <v>76</v>
      </c>
      <c r="D124" s="23" t="n">
        <v>8</v>
      </c>
      <c r="E124" s="24" t="n">
        <v>1861.51693119955</v>
      </c>
      <c r="F124" s="24" t="n">
        <v>2668.12174758315</v>
      </c>
      <c r="G124" s="24" t="n">
        <v>249.637135922909</v>
      </c>
      <c r="H124" s="24" t="n">
        <v>0</v>
      </c>
      <c r="I124" s="25" t="n">
        <v>-4.40000009536743</v>
      </c>
      <c r="J124" s="23" t="s">
        <v>664</v>
      </c>
    </row>
    <row r="125" customFormat="false" ht="15" hidden="false" customHeight="false" outlineLevel="0" collapsed="false">
      <c r="A125" s="23" t="s">
        <v>660</v>
      </c>
      <c r="B125" s="23" t="s">
        <v>677</v>
      </c>
      <c r="C125" s="23" t="s">
        <v>83</v>
      </c>
      <c r="D125" s="23" t="n">
        <v>12</v>
      </c>
      <c r="E125" s="24" t="n">
        <v>3.24140518129387</v>
      </c>
      <c r="F125" s="24" t="n">
        <v>5.40234136581421</v>
      </c>
      <c r="G125" s="24" t="n">
        <v>24.9568834081292</v>
      </c>
      <c r="H125" s="24" t="n">
        <v>0</v>
      </c>
      <c r="I125" s="25" t="n">
        <v>1.85000002384186</v>
      </c>
      <c r="J125" s="23" t="s">
        <v>665</v>
      </c>
    </row>
    <row r="126" customFormat="false" ht="15" hidden="false" customHeight="false" outlineLevel="0" collapsed="false">
      <c r="A126" s="23" t="s">
        <v>660</v>
      </c>
      <c r="B126" s="23" t="s">
        <v>677</v>
      </c>
      <c r="C126" s="23" t="s">
        <v>85</v>
      </c>
      <c r="D126" s="23" t="n">
        <v>12</v>
      </c>
      <c r="E126" s="24" t="n">
        <v>91.5335822277874</v>
      </c>
      <c r="F126" s="24" t="n">
        <v>147.161108613014</v>
      </c>
      <c r="G126" s="24" t="n">
        <v>365.367270771414</v>
      </c>
      <c r="H126" s="24" t="n">
        <v>0</v>
      </c>
      <c r="I126" s="25" t="n">
        <v>-3.90000009536743</v>
      </c>
      <c r="J126" s="23" t="s">
        <v>666</v>
      </c>
    </row>
    <row r="127" customFormat="false" ht="15" hidden="false" customHeight="false" outlineLevel="0" collapsed="false">
      <c r="A127" s="23" t="s">
        <v>660</v>
      </c>
      <c r="B127" s="23" t="s">
        <v>677</v>
      </c>
      <c r="C127" s="23" t="s">
        <v>81</v>
      </c>
      <c r="D127" s="23" t="n">
        <v>4</v>
      </c>
      <c r="E127" s="24" t="n">
        <v>88.3494512124343</v>
      </c>
      <c r="F127" s="24" t="n">
        <v>323.457765698433</v>
      </c>
      <c r="G127" s="24" t="n">
        <v>430.179685147479</v>
      </c>
      <c r="H127" s="24" t="n">
        <v>0</v>
      </c>
      <c r="I127" s="25" t="n">
        <v>2.45000004768372</v>
      </c>
      <c r="J127" s="23" t="s">
        <v>667</v>
      </c>
    </row>
    <row r="128" customFormat="false" ht="15" hidden="false" customHeight="false" outlineLevel="0" collapsed="false">
      <c r="A128" s="23" t="s">
        <v>660</v>
      </c>
      <c r="B128" s="23" t="s">
        <v>677</v>
      </c>
      <c r="C128" s="23" t="s">
        <v>79</v>
      </c>
      <c r="D128" s="23" t="n">
        <v>9</v>
      </c>
      <c r="E128" s="24" t="n">
        <v>675.482740576251</v>
      </c>
      <c r="F128" s="24" t="n">
        <v>321.65277411323</v>
      </c>
      <c r="G128" s="24" t="n">
        <v>2470.72644372608</v>
      </c>
      <c r="H128" s="24" t="n">
        <v>0</v>
      </c>
      <c r="I128" s="25" t="n">
        <v>-3.90000009536743</v>
      </c>
      <c r="J128" s="23" t="s">
        <v>668</v>
      </c>
    </row>
    <row r="129" customFormat="false" ht="15" hidden="false" customHeight="false" outlineLevel="0" collapsed="false">
      <c r="A129" s="23" t="s">
        <v>660</v>
      </c>
      <c r="B129" s="23" t="s">
        <v>677</v>
      </c>
      <c r="C129" s="23" t="s">
        <v>166</v>
      </c>
      <c r="D129" s="23" t="n">
        <v>29</v>
      </c>
      <c r="E129" s="24" t="n">
        <v>4.15830219638514</v>
      </c>
      <c r="F129" s="24" t="n">
        <v>10.9596519470215</v>
      </c>
      <c r="G129" s="24" t="n">
        <v>0</v>
      </c>
      <c r="H129" s="24" t="n">
        <v>0</v>
      </c>
      <c r="I129" s="25" t="n">
        <v>0.200000002980232</v>
      </c>
      <c r="J129" s="23" t="s">
        <v>669</v>
      </c>
    </row>
    <row r="130" customFormat="false" ht="15" hidden="false" customHeight="false" outlineLevel="0" collapsed="false">
      <c r="A130" s="23" t="s">
        <v>660</v>
      </c>
      <c r="B130" s="23" t="s">
        <v>678</v>
      </c>
      <c r="C130" s="23" t="s">
        <v>91</v>
      </c>
      <c r="D130" s="23" t="n">
        <v>6</v>
      </c>
      <c r="E130" s="24" t="n">
        <v>269.459093292559</v>
      </c>
      <c r="F130" s="24" t="n">
        <v>2696.12845152617</v>
      </c>
      <c r="G130" s="24" t="n">
        <v>0</v>
      </c>
      <c r="H130" s="24" t="n">
        <v>0</v>
      </c>
      <c r="I130" s="25" t="n">
        <v>-4.5</v>
      </c>
      <c r="J130" s="23" t="s">
        <v>662</v>
      </c>
    </row>
    <row r="131" customFormat="false" ht="15" hidden="false" customHeight="false" outlineLevel="0" collapsed="false">
      <c r="A131" s="23" t="s">
        <v>660</v>
      </c>
      <c r="B131" s="23" t="s">
        <v>678</v>
      </c>
      <c r="C131" s="23" t="s">
        <v>103</v>
      </c>
      <c r="D131" s="23" t="n">
        <v>213</v>
      </c>
      <c r="E131" s="24" t="n">
        <v>178.618001941154</v>
      </c>
      <c r="F131" s="24" t="n">
        <v>59.5393261909485</v>
      </c>
      <c r="G131" s="24" t="n">
        <v>0</v>
      </c>
      <c r="H131" s="24" t="n">
        <v>0</v>
      </c>
      <c r="I131" s="25" t="n">
        <v>-7.40000009536743</v>
      </c>
      <c r="J131" s="23" t="s">
        <v>663</v>
      </c>
    </row>
    <row r="132" customFormat="false" ht="15" hidden="false" customHeight="false" outlineLevel="0" collapsed="false">
      <c r="A132" s="23" t="s">
        <v>660</v>
      </c>
      <c r="B132" s="23" t="s">
        <v>678</v>
      </c>
      <c r="C132" s="23" t="s">
        <v>76</v>
      </c>
      <c r="D132" s="23" t="n">
        <v>8</v>
      </c>
      <c r="E132" s="24" t="n">
        <v>1861.51689203112</v>
      </c>
      <c r="F132" s="24" t="n">
        <v>2668.12096709013</v>
      </c>
      <c r="G132" s="24" t="n">
        <v>249.637138467282</v>
      </c>
      <c r="H132" s="24" t="n">
        <v>0</v>
      </c>
      <c r="I132" s="25" t="n">
        <v>-4.40000009536743</v>
      </c>
      <c r="J132" s="23" t="s">
        <v>664</v>
      </c>
    </row>
    <row r="133" customFormat="false" ht="15" hidden="false" customHeight="false" outlineLevel="0" collapsed="false">
      <c r="A133" s="23" t="s">
        <v>660</v>
      </c>
      <c r="B133" s="23" t="s">
        <v>678</v>
      </c>
      <c r="C133" s="23" t="s">
        <v>83</v>
      </c>
      <c r="D133" s="23" t="n">
        <v>12</v>
      </c>
      <c r="E133" s="24" t="n">
        <v>3.24140734368372</v>
      </c>
      <c r="F133" s="24" t="n">
        <v>5.40235042572022</v>
      </c>
      <c r="G133" s="24" t="n">
        <v>24.9569089151919</v>
      </c>
      <c r="H133" s="24" t="n">
        <v>0</v>
      </c>
      <c r="I133" s="25" t="n">
        <v>1.85000002384186</v>
      </c>
      <c r="J133" s="23" t="s">
        <v>665</v>
      </c>
    </row>
    <row r="134" customFormat="false" ht="15" hidden="false" customHeight="false" outlineLevel="0" collapsed="false">
      <c r="A134" s="23" t="s">
        <v>660</v>
      </c>
      <c r="B134" s="23" t="s">
        <v>678</v>
      </c>
      <c r="C134" s="23" t="s">
        <v>85</v>
      </c>
      <c r="D134" s="23" t="n">
        <v>12</v>
      </c>
      <c r="E134" s="24" t="n">
        <v>91.5336264810885</v>
      </c>
      <c r="F134" s="24" t="n">
        <v>147.161177396774</v>
      </c>
      <c r="G134" s="24" t="n">
        <v>365.367382328957</v>
      </c>
      <c r="H134" s="24" t="n">
        <v>0</v>
      </c>
      <c r="I134" s="25" t="n">
        <v>-3.90000009536743</v>
      </c>
      <c r="J134" s="23" t="s">
        <v>666</v>
      </c>
    </row>
    <row r="135" customFormat="false" ht="15" hidden="false" customHeight="false" outlineLevel="0" collapsed="false">
      <c r="A135" s="23" t="s">
        <v>660</v>
      </c>
      <c r="B135" s="23" t="s">
        <v>678</v>
      </c>
      <c r="C135" s="23" t="s">
        <v>81</v>
      </c>
      <c r="D135" s="23" t="n">
        <v>4</v>
      </c>
      <c r="E135" s="24" t="n">
        <v>88.3494748260794</v>
      </c>
      <c r="F135" s="24" t="n">
        <v>323.457935571671</v>
      </c>
      <c r="G135" s="24" t="n">
        <v>430.179794494063</v>
      </c>
      <c r="H135" s="24" t="n">
        <v>0</v>
      </c>
      <c r="I135" s="25" t="n">
        <v>2.45000004768372</v>
      </c>
      <c r="J135" s="23" t="s">
        <v>667</v>
      </c>
    </row>
    <row r="136" customFormat="false" ht="15" hidden="false" customHeight="false" outlineLevel="0" collapsed="false">
      <c r="A136" s="23" t="s">
        <v>660</v>
      </c>
      <c r="B136" s="23" t="s">
        <v>678</v>
      </c>
      <c r="C136" s="23" t="s">
        <v>79</v>
      </c>
      <c r="D136" s="23" t="n">
        <v>9</v>
      </c>
      <c r="E136" s="24" t="n">
        <v>675.483278085282</v>
      </c>
      <c r="F136" s="24" t="n">
        <v>321.652731824666</v>
      </c>
      <c r="G136" s="24" t="n">
        <v>2470.72609826585</v>
      </c>
      <c r="H136" s="24" t="n">
        <v>0</v>
      </c>
      <c r="I136" s="25" t="n">
        <v>-3.90000009536743</v>
      </c>
      <c r="J136" s="23" t="s">
        <v>668</v>
      </c>
    </row>
    <row r="137" customFormat="false" ht="15" hidden="false" customHeight="false" outlineLevel="0" collapsed="false">
      <c r="A137" s="23" t="s">
        <v>660</v>
      </c>
      <c r="B137" s="23" t="s">
        <v>678</v>
      </c>
      <c r="C137" s="23" t="s">
        <v>166</v>
      </c>
      <c r="D137" s="23" t="n">
        <v>29</v>
      </c>
      <c r="E137" s="24" t="n">
        <v>4.15830223797816</v>
      </c>
      <c r="F137" s="24" t="n">
        <v>10.9596996307373</v>
      </c>
      <c r="G137" s="24" t="n">
        <v>0</v>
      </c>
      <c r="H137" s="24" t="n">
        <v>0</v>
      </c>
      <c r="I137" s="25" t="n">
        <v>0.200000002980232</v>
      </c>
      <c r="J137" s="23" t="s">
        <v>669</v>
      </c>
    </row>
    <row r="138" customFormat="false" ht="15" hidden="false" customHeight="false" outlineLevel="0" collapsed="false">
      <c r="A138" s="23" t="s">
        <v>660</v>
      </c>
      <c r="B138" s="23" t="s">
        <v>679</v>
      </c>
      <c r="C138" s="23" t="s">
        <v>91</v>
      </c>
      <c r="D138" s="23" t="n">
        <v>6</v>
      </c>
      <c r="E138" s="24" t="n">
        <v>269.459085229881</v>
      </c>
      <c r="F138" s="24" t="n">
        <v>2696.12906941772</v>
      </c>
      <c r="G138" s="24" t="n">
        <v>0</v>
      </c>
      <c r="H138" s="24" t="n">
        <v>0</v>
      </c>
      <c r="I138" s="25" t="n">
        <v>-4.5</v>
      </c>
      <c r="J138" s="23" t="s">
        <v>662</v>
      </c>
    </row>
    <row r="139" customFormat="false" ht="15" hidden="false" customHeight="false" outlineLevel="0" collapsed="false">
      <c r="A139" s="23" t="s">
        <v>660</v>
      </c>
      <c r="B139" s="23" t="s">
        <v>679</v>
      </c>
      <c r="C139" s="23" t="s">
        <v>103</v>
      </c>
      <c r="D139" s="23" t="n">
        <v>213</v>
      </c>
      <c r="E139" s="24" t="n">
        <v>178.616625803456</v>
      </c>
      <c r="F139" s="24" t="n">
        <v>59.5389256011695</v>
      </c>
      <c r="G139" s="24" t="n">
        <v>0</v>
      </c>
      <c r="H139" s="24" t="n">
        <v>0</v>
      </c>
      <c r="I139" s="25" t="n">
        <v>-7.40000009536743</v>
      </c>
      <c r="J139" s="23" t="s">
        <v>663</v>
      </c>
    </row>
    <row r="140" customFormat="false" ht="15" hidden="false" customHeight="false" outlineLevel="0" collapsed="false">
      <c r="A140" s="23" t="s">
        <v>660</v>
      </c>
      <c r="B140" s="23" t="s">
        <v>679</v>
      </c>
      <c r="C140" s="23" t="s">
        <v>76</v>
      </c>
      <c r="D140" s="23" t="n">
        <v>8</v>
      </c>
      <c r="E140" s="24" t="n">
        <v>1861.51689868617</v>
      </c>
      <c r="F140" s="24" t="n">
        <v>2668.12162929773</v>
      </c>
      <c r="G140" s="24" t="n">
        <v>249.637189183384</v>
      </c>
      <c r="H140" s="24" t="n">
        <v>0</v>
      </c>
      <c r="I140" s="25" t="n">
        <v>-4.40000009536743</v>
      </c>
      <c r="J140" s="23" t="s">
        <v>664</v>
      </c>
    </row>
    <row r="141" customFormat="false" ht="15" hidden="false" customHeight="false" outlineLevel="0" collapsed="false">
      <c r="A141" s="23" t="s">
        <v>660</v>
      </c>
      <c r="B141" s="23" t="s">
        <v>679</v>
      </c>
      <c r="C141" s="23" t="s">
        <v>83</v>
      </c>
      <c r="D141" s="23" t="n">
        <v>12</v>
      </c>
      <c r="E141" s="24" t="n">
        <v>3.24140827707828</v>
      </c>
      <c r="F141" s="24" t="n">
        <v>5.40235018730164</v>
      </c>
      <c r="G141" s="24" t="n">
        <v>24.9569108970463</v>
      </c>
      <c r="H141" s="24" t="n">
        <v>0</v>
      </c>
      <c r="I141" s="25" t="n">
        <v>1.85000002384186</v>
      </c>
      <c r="J141" s="23" t="s">
        <v>665</v>
      </c>
    </row>
    <row r="142" customFormat="false" ht="15" hidden="false" customHeight="false" outlineLevel="0" collapsed="false">
      <c r="A142" s="23" t="s">
        <v>660</v>
      </c>
      <c r="B142" s="23" t="s">
        <v>679</v>
      </c>
      <c r="C142" s="23" t="s">
        <v>85</v>
      </c>
      <c r="D142" s="23" t="n">
        <v>12</v>
      </c>
      <c r="E142" s="24" t="n">
        <v>91.5336207103443</v>
      </c>
      <c r="F142" s="24" t="n">
        <v>147.161145150662</v>
      </c>
      <c r="G142" s="24" t="n">
        <v>365.367173379287</v>
      </c>
      <c r="H142" s="24" t="n">
        <v>0</v>
      </c>
      <c r="I142" s="25" t="n">
        <v>-3.90000009536743</v>
      </c>
      <c r="J142" s="23" t="s">
        <v>666</v>
      </c>
    </row>
    <row r="143" customFormat="false" ht="15" hidden="false" customHeight="false" outlineLevel="0" collapsed="false">
      <c r="A143" s="23" t="s">
        <v>660</v>
      </c>
      <c r="B143" s="23" t="s">
        <v>679</v>
      </c>
      <c r="C143" s="23" t="s">
        <v>81</v>
      </c>
      <c r="D143" s="23" t="n">
        <v>4</v>
      </c>
      <c r="E143" s="24" t="n">
        <v>88.3494644061493</v>
      </c>
      <c r="F143" s="24" t="n">
        <v>323.45794570446</v>
      </c>
      <c r="G143" s="24" t="n">
        <v>430.179886326194</v>
      </c>
      <c r="H143" s="24" t="n">
        <v>0</v>
      </c>
      <c r="I143" s="25" t="n">
        <v>2.45000004768372</v>
      </c>
      <c r="J143" s="23" t="s">
        <v>667</v>
      </c>
    </row>
    <row r="144" customFormat="false" ht="15" hidden="false" customHeight="false" outlineLevel="0" collapsed="false">
      <c r="A144" s="23" t="s">
        <v>660</v>
      </c>
      <c r="B144" s="23" t="s">
        <v>679</v>
      </c>
      <c r="C144" s="23" t="s">
        <v>79</v>
      </c>
      <c r="D144" s="23" t="n">
        <v>9</v>
      </c>
      <c r="E144" s="24" t="n">
        <v>675.483093701532</v>
      </c>
      <c r="F144" s="24" t="n">
        <v>321.652810249478</v>
      </c>
      <c r="G144" s="24" t="n">
        <v>2470.72612222383</v>
      </c>
      <c r="H144" s="24" t="n">
        <v>0</v>
      </c>
      <c r="I144" s="25" t="n">
        <v>-3.90000009536743</v>
      </c>
      <c r="J144" s="23" t="s">
        <v>668</v>
      </c>
    </row>
    <row r="145" customFormat="false" ht="15" hidden="false" customHeight="false" outlineLevel="0" collapsed="false">
      <c r="A145" s="23" t="s">
        <v>660</v>
      </c>
      <c r="B145" s="23" t="s">
        <v>679</v>
      </c>
      <c r="C145" s="23" t="s">
        <v>166</v>
      </c>
      <c r="D145" s="23" t="n">
        <v>29</v>
      </c>
      <c r="E145" s="24" t="n">
        <v>4.15830013186537</v>
      </c>
      <c r="F145" s="24" t="n">
        <v>10.9596640467644</v>
      </c>
      <c r="G145" s="24" t="n">
        <v>0</v>
      </c>
      <c r="H145" s="24" t="n">
        <v>0</v>
      </c>
      <c r="I145" s="25" t="n">
        <v>0.200000002980232</v>
      </c>
      <c r="J145" s="23" t="s">
        <v>669</v>
      </c>
    </row>
    <row r="146" customFormat="false" ht="15" hidden="false" customHeight="false" outlineLevel="0" collapsed="false">
      <c r="A146" s="23" t="s">
        <v>660</v>
      </c>
      <c r="B146" s="23" t="s">
        <v>680</v>
      </c>
      <c r="C146" s="23" t="s">
        <v>91</v>
      </c>
      <c r="D146" s="23" t="n">
        <v>6</v>
      </c>
      <c r="E146" s="24" t="n">
        <v>269.459097503152</v>
      </c>
      <c r="F146" s="24" t="n">
        <v>2696.12929305434</v>
      </c>
      <c r="G146" s="24" t="n">
        <v>0</v>
      </c>
      <c r="H146" s="24" t="n">
        <v>0</v>
      </c>
      <c r="I146" s="25" t="n">
        <v>-4.5</v>
      </c>
      <c r="J146" s="23" t="s">
        <v>662</v>
      </c>
    </row>
    <row r="147" customFormat="false" ht="15" hidden="false" customHeight="false" outlineLevel="0" collapsed="false">
      <c r="A147" s="23" t="s">
        <v>660</v>
      </c>
      <c r="B147" s="23" t="s">
        <v>680</v>
      </c>
      <c r="C147" s="23" t="s">
        <v>103</v>
      </c>
      <c r="D147" s="23" t="n">
        <v>213</v>
      </c>
      <c r="E147" s="24" t="n">
        <v>178.617033095292</v>
      </c>
      <c r="F147" s="24" t="n">
        <v>59.5390284359455</v>
      </c>
      <c r="G147" s="24" t="n">
        <v>0</v>
      </c>
      <c r="H147" s="24" t="n">
        <v>0</v>
      </c>
      <c r="I147" s="25" t="n">
        <v>-7.40000009536743</v>
      </c>
      <c r="J147" s="23" t="s">
        <v>663</v>
      </c>
    </row>
    <row r="148" customFormat="false" ht="15" hidden="false" customHeight="false" outlineLevel="0" collapsed="false">
      <c r="A148" s="23" t="s">
        <v>660</v>
      </c>
      <c r="B148" s="23" t="s">
        <v>680</v>
      </c>
      <c r="C148" s="23" t="s">
        <v>76</v>
      </c>
      <c r="D148" s="23" t="n">
        <v>8</v>
      </c>
      <c r="E148" s="24" t="n">
        <v>1861.51689893442</v>
      </c>
      <c r="F148" s="24" t="n">
        <v>2668.12179914117</v>
      </c>
      <c r="G148" s="24" t="n">
        <v>249.637177765369</v>
      </c>
      <c r="H148" s="24" t="n">
        <v>0</v>
      </c>
      <c r="I148" s="25" t="n">
        <v>-4.40000009536743</v>
      </c>
      <c r="J148" s="23" t="s">
        <v>664</v>
      </c>
    </row>
    <row r="149" customFormat="false" ht="15" hidden="false" customHeight="false" outlineLevel="0" collapsed="false">
      <c r="A149" s="23" t="s">
        <v>660</v>
      </c>
      <c r="B149" s="23" t="s">
        <v>680</v>
      </c>
      <c r="C149" s="23" t="s">
        <v>83</v>
      </c>
      <c r="D149" s="23" t="n">
        <v>12</v>
      </c>
      <c r="E149" s="24" t="n">
        <v>3.24140854459158</v>
      </c>
      <c r="F149" s="24" t="n">
        <v>5.40234327316284</v>
      </c>
      <c r="G149" s="24" t="n">
        <v>24.956918142736</v>
      </c>
      <c r="H149" s="24" t="n">
        <v>0</v>
      </c>
      <c r="I149" s="25" t="n">
        <v>1.85000002384186</v>
      </c>
      <c r="J149" s="23" t="s">
        <v>665</v>
      </c>
    </row>
    <row r="150" customFormat="false" ht="15" hidden="false" customHeight="false" outlineLevel="0" collapsed="false">
      <c r="A150" s="23" t="s">
        <v>660</v>
      </c>
      <c r="B150" s="23" t="s">
        <v>680</v>
      </c>
      <c r="C150" s="23" t="s">
        <v>85</v>
      </c>
      <c r="D150" s="23" t="n">
        <v>12</v>
      </c>
      <c r="E150" s="24" t="n">
        <v>91.5336516072007</v>
      </c>
      <c r="F150" s="24" t="n">
        <v>147.161178320646</v>
      </c>
      <c r="G150" s="24" t="n">
        <v>365.367206873372</v>
      </c>
      <c r="H150" s="24" t="n">
        <v>0</v>
      </c>
      <c r="I150" s="25" t="n">
        <v>-3.90000009536743</v>
      </c>
      <c r="J150" s="23" t="s">
        <v>666</v>
      </c>
    </row>
    <row r="151" customFormat="false" ht="15" hidden="false" customHeight="false" outlineLevel="0" collapsed="false">
      <c r="A151" s="23" t="s">
        <v>660</v>
      </c>
      <c r="B151" s="23" t="s">
        <v>680</v>
      </c>
      <c r="C151" s="23" t="s">
        <v>81</v>
      </c>
      <c r="D151" s="23" t="n">
        <v>4</v>
      </c>
      <c r="E151" s="24" t="n">
        <v>88.3494670182191</v>
      </c>
      <c r="F151" s="24" t="n">
        <v>323.457915604115</v>
      </c>
      <c r="G151" s="24" t="n">
        <v>430.179841937497</v>
      </c>
      <c r="H151" s="24" t="n">
        <v>0</v>
      </c>
      <c r="I151" s="25" t="n">
        <v>2.45000004768372</v>
      </c>
      <c r="J151" s="23" t="s">
        <v>667</v>
      </c>
    </row>
    <row r="152" customFormat="false" ht="15" hidden="false" customHeight="false" outlineLevel="0" collapsed="false">
      <c r="A152" s="23" t="s">
        <v>660</v>
      </c>
      <c r="B152" s="23" t="s">
        <v>680</v>
      </c>
      <c r="C152" s="23" t="s">
        <v>79</v>
      </c>
      <c r="D152" s="23" t="n">
        <v>9</v>
      </c>
      <c r="E152" s="24" t="n">
        <v>675.48322111665</v>
      </c>
      <c r="F152" s="24" t="n">
        <v>321.65281234635</v>
      </c>
      <c r="G152" s="24" t="n">
        <v>2470.72621536322</v>
      </c>
      <c r="H152" s="24" t="n">
        <v>0</v>
      </c>
      <c r="I152" s="25" t="n">
        <v>-3.90000009536743</v>
      </c>
      <c r="J152" s="23" t="s">
        <v>668</v>
      </c>
    </row>
    <row r="153" customFormat="false" ht="15" hidden="false" customHeight="false" outlineLevel="0" collapsed="false">
      <c r="A153" s="23" t="s">
        <v>660</v>
      </c>
      <c r="B153" s="23" t="s">
        <v>680</v>
      </c>
      <c r="C153" s="23" t="s">
        <v>166</v>
      </c>
      <c r="D153" s="23" t="n">
        <v>29</v>
      </c>
      <c r="E153" s="24" t="n">
        <v>4.15829974374405</v>
      </c>
      <c r="F153" s="24" t="n">
        <v>10.9596738815308</v>
      </c>
      <c r="G153" s="24" t="n">
        <v>0</v>
      </c>
      <c r="H153" s="24" t="n">
        <v>0</v>
      </c>
      <c r="I153" s="25" t="n">
        <v>0.200000002980232</v>
      </c>
      <c r="J153" s="23" t="s">
        <v>669</v>
      </c>
    </row>
    <row r="154" customFormat="false" ht="15" hidden="false" customHeight="false" outlineLevel="0" collapsed="false">
      <c r="A154" s="23" t="s">
        <v>681</v>
      </c>
      <c r="B154" s="23" t="s">
        <v>682</v>
      </c>
      <c r="C154" s="23" t="s">
        <v>76</v>
      </c>
      <c r="D154" s="23" t="n">
        <v>13</v>
      </c>
      <c r="E154" s="24" t="n">
        <v>404.650502611478</v>
      </c>
      <c r="F154" s="24" t="n">
        <v>525.842517375946</v>
      </c>
      <c r="G154" s="24" t="n">
        <v>292.19137892127</v>
      </c>
      <c r="H154" s="24" t="n">
        <v>0</v>
      </c>
      <c r="I154" s="25" t="n">
        <v>-9</v>
      </c>
      <c r="J154" s="23" t="s">
        <v>683</v>
      </c>
    </row>
    <row r="155" customFormat="false" ht="15" hidden="false" customHeight="false" outlineLevel="0" collapsed="false">
      <c r="A155" s="23" t="s">
        <v>681</v>
      </c>
      <c r="B155" s="23" t="s">
        <v>682</v>
      </c>
      <c r="C155" s="23" t="s">
        <v>81</v>
      </c>
      <c r="D155" s="23" t="n">
        <v>2</v>
      </c>
      <c r="E155" s="24" t="n">
        <v>65.2813931595337</v>
      </c>
      <c r="F155" s="24" t="n">
        <v>233.104553222656</v>
      </c>
      <c r="G155" s="24" t="n">
        <v>268.017743036151</v>
      </c>
      <c r="H155" s="24" t="n">
        <v>0</v>
      </c>
      <c r="I155" s="25" t="n">
        <v>4.19999980926514</v>
      </c>
      <c r="J155" s="23" t="s">
        <v>684</v>
      </c>
    </row>
    <row r="156" customFormat="false" ht="15" hidden="false" customHeight="false" outlineLevel="0" collapsed="false">
      <c r="A156" s="23" t="s">
        <v>681</v>
      </c>
      <c r="B156" s="23" t="s">
        <v>682</v>
      </c>
      <c r="C156" s="23" t="s">
        <v>79</v>
      </c>
      <c r="D156" s="23" t="n">
        <v>16</v>
      </c>
      <c r="E156" s="24" t="n">
        <v>969.103817290625</v>
      </c>
      <c r="F156" s="24" t="n">
        <v>149.254438064992</v>
      </c>
      <c r="G156" s="24" t="n">
        <v>2898.74104425311</v>
      </c>
      <c r="H156" s="24" t="n">
        <v>0</v>
      </c>
      <c r="I156" s="25" t="n">
        <v>-8</v>
      </c>
      <c r="J156" s="23" t="s">
        <v>685</v>
      </c>
    </row>
    <row r="157" customFormat="false" ht="15" hidden="false" customHeight="false" outlineLevel="0" collapsed="false">
      <c r="A157" s="23" t="s">
        <v>686</v>
      </c>
      <c r="B157" s="23" t="s">
        <v>687</v>
      </c>
      <c r="C157" s="23" t="s">
        <v>91</v>
      </c>
      <c r="D157" s="23" t="n">
        <v>1</v>
      </c>
      <c r="E157" s="24" t="n">
        <v>720.68995390252</v>
      </c>
      <c r="F157" s="24" t="n">
        <v>3603.44999462366</v>
      </c>
      <c r="G157" s="24" t="n">
        <v>0</v>
      </c>
      <c r="H157" s="24" t="n">
        <v>0</v>
      </c>
      <c r="I157" s="25" t="n">
        <v>-1.00999999046326</v>
      </c>
      <c r="J157" s="23" t="s">
        <v>688</v>
      </c>
    </row>
    <row r="158" customFormat="false" ht="15" hidden="false" customHeight="false" outlineLevel="0" collapsed="false">
      <c r="A158" s="23" t="s">
        <v>686</v>
      </c>
      <c r="B158" s="23" t="s">
        <v>687</v>
      </c>
      <c r="C158" s="23" t="s">
        <v>117</v>
      </c>
      <c r="D158" s="23" t="n">
        <v>138</v>
      </c>
      <c r="E158" s="24" t="n">
        <v>1.21849498453574</v>
      </c>
      <c r="F158" s="24" t="n">
        <v>0.279439108096995</v>
      </c>
      <c r="G158" s="24" t="n">
        <v>0</v>
      </c>
      <c r="H158" s="24" t="n">
        <v>469.427919387817</v>
      </c>
      <c r="I158" s="25" t="n">
        <v>1</v>
      </c>
      <c r="J158" s="23" t="s">
        <v>689</v>
      </c>
    </row>
    <row r="159" customFormat="false" ht="15" hidden="false" customHeight="false" outlineLevel="0" collapsed="false">
      <c r="A159" s="23" t="s">
        <v>686</v>
      </c>
      <c r="B159" s="23" t="s">
        <v>687</v>
      </c>
      <c r="C159" s="23" t="s">
        <v>76</v>
      </c>
      <c r="D159" s="23" t="n">
        <v>7</v>
      </c>
      <c r="E159" s="24" t="n">
        <v>2676.75858427517</v>
      </c>
      <c r="F159" s="24" t="n">
        <v>6762.21922233701</v>
      </c>
      <c r="G159" s="24" t="n">
        <v>277.620202825405</v>
      </c>
      <c r="H159" s="24" t="n">
        <v>0</v>
      </c>
      <c r="I159" s="25" t="n">
        <v>-6.59999990463257</v>
      </c>
      <c r="J159" s="23" t="s">
        <v>690</v>
      </c>
    </row>
    <row r="160" customFormat="false" ht="15" hidden="false" customHeight="false" outlineLevel="0" collapsed="false">
      <c r="A160" s="23" t="s">
        <v>686</v>
      </c>
      <c r="B160" s="23" t="s">
        <v>687</v>
      </c>
      <c r="C160" s="23" t="s">
        <v>85</v>
      </c>
      <c r="D160" s="23" t="n">
        <v>31</v>
      </c>
      <c r="E160" s="24" t="n">
        <v>349.275869444963</v>
      </c>
      <c r="F160" s="24" t="n">
        <v>92.3218537611501</v>
      </c>
      <c r="G160" s="24" t="n">
        <v>2874.22895971569</v>
      </c>
      <c r="H160" s="24" t="n">
        <v>0</v>
      </c>
      <c r="I160" s="25" t="n">
        <v>-6.5</v>
      </c>
      <c r="J160" s="23" t="s">
        <v>691</v>
      </c>
    </row>
    <row r="161" customFormat="false" ht="15" hidden="false" customHeight="false" outlineLevel="0" collapsed="false">
      <c r="A161" s="23" t="s">
        <v>686</v>
      </c>
      <c r="B161" s="23" t="s">
        <v>687</v>
      </c>
      <c r="C161" s="23" t="s">
        <v>81</v>
      </c>
      <c r="D161" s="23" t="n">
        <v>6</v>
      </c>
      <c r="E161" s="24" t="n">
        <v>40.5600048916648</v>
      </c>
      <c r="F161" s="24" t="n">
        <v>202.799952030182</v>
      </c>
      <c r="G161" s="24" t="n">
        <v>260.480028137565</v>
      </c>
      <c r="H161" s="24" t="n">
        <v>0</v>
      </c>
      <c r="I161" s="25" t="n">
        <v>3.59999990463257</v>
      </c>
      <c r="J161" s="23" t="s">
        <v>692</v>
      </c>
    </row>
    <row r="162" customFormat="false" ht="15" hidden="false" customHeight="false" outlineLevel="0" collapsed="false">
      <c r="A162" s="23" t="s">
        <v>686</v>
      </c>
      <c r="B162" s="23" t="s">
        <v>687</v>
      </c>
      <c r="C162" s="23" t="s">
        <v>79</v>
      </c>
      <c r="D162" s="23" t="n">
        <v>68</v>
      </c>
      <c r="E162" s="24" t="n">
        <v>1000.68850368975</v>
      </c>
      <c r="F162" s="24" t="n">
        <v>224.138503233902</v>
      </c>
      <c r="G162" s="24" t="n">
        <v>4784.6067674701</v>
      </c>
      <c r="H162" s="24" t="n">
        <v>0</v>
      </c>
      <c r="I162" s="25" t="n">
        <v>-6</v>
      </c>
      <c r="J162" s="23" t="s">
        <v>693</v>
      </c>
    </row>
    <row r="163" customFormat="false" ht="15" hidden="false" customHeight="false" outlineLevel="0" collapsed="false">
      <c r="A163" s="23" t="s">
        <v>686</v>
      </c>
      <c r="B163" s="23" t="s">
        <v>687</v>
      </c>
      <c r="C163" s="23" t="s">
        <v>166</v>
      </c>
      <c r="D163" s="23" t="n">
        <v>127</v>
      </c>
      <c r="E163" s="24" t="n">
        <v>3.57935382644544</v>
      </c>
      <c r="F163" s="24" t="n">
        <v>9.72278546297457</v>
      </c>
      <c r="G163" s="24" t="n">
        <v>0</v>
      </c>
      <c r="H163" s="24" t="n">
        <v>0</v>
      </c>
      <c r="I163" s="25" t="n">
        <v>-6.01749992370606</v>
      </c>
      <c r="J163" s="23" t="s">
        <v>694</v>
      </c>
    </row>
    <row r="164" customFormat="false" ht="15" hidden="false" customHeight="false" outlineLevel="0" collapsed="false">
      <c r="A164" s="23" t="s">
        <v>695</v>
      </c>
      <c r="B164" s="23" t="s">
        <v>696</v>
      </c>
      <c r="C164" s="23" t="s">
        <v>282</v>
      </c>
      <c r="D164" s="23" t="n">
        <v>18</v>
      </c>
      <c r="E164" s="24" t="n">
        <v>0.719978236844326</v>
      </c>
      <c r="F164" s="24" t="n">
        <v>0.719965934753418</v>
      </c>
      <c r="G164" s="24" t="n">
        <v>0</v>
      </c>
      <c r="H164" s="24" t="n">
        <v>0</v>
      </c>
      <c r="I164" s="25" t="n">
        <v>6</v>
      </c>
      <c r="J164" s="23" t="s">
        <v>697</v>
      </c>
    </row>
    <row r="165" customFormat="false" ht="15" hidden="false" customHeight="false" outlineLevel="0" collapsed="false">
      <c r="A165" s="23" t="s">
        <v>695</v>
      </c>
      <c r="B165" s="23" t="s">
        <v>696</v>
      </c>
      <c r="C165" s="23" t="s">
        <v>278</v>
      </c>
      <c r="D165" s="23" t="n">
        <v>28</v>
      </c>
      <c r="E165" s="24" t="n">
        <v>7.53448723314256</v>
      </c>
      <c r="F165" s="24" t="n">
        <v>23.6099331378937</v>
      </c>
      <c r="G165" s="24" t="n">
        <v>0</v>
      </c>
      <c r="H165" s="24" t="n">
        <v>0</v>
      </c>
      <c r="I165" s="25" t="n">
        <v>4.84999990463257</v>
      </c>
      <c r="J165" s="23" t="s">
        <v>698</v>
      </c>
    </row>
    <row r="166" customFormat="false" ht="15" hidden="false" customHeight="false" outlineLevel="0" collapsed="false">
      <c r="A166" s="23" t="s">
        <v>695</v>
      </c>
      <c r="B166" s="23" t="s">
        <v>696</v>
      </c>
      <c r="C166" s="23" t="s">
        <v>117</v>
      </c>
      <c r="D166" s="23" t="n">
        <v>108</v>
      </c>
      <c r="E166" s="24" t="n">
        <v>0.623746830666058</v>
      </c>
      <c r="F166" s="24" t="n">
        <v>1.98119246773422</v>
      </c>
      <c r="G166" s="24" t="n">
        <v>0</v>
      </c>
      <c r="H166" s="24" t="n">
        <v>209.911069869995</v>
      </c>
      <c r="I166" s="25" t="n">
        <v>-4</v>
      </c>
      <c r="J166" s="23" t="s">
        <v>699</v>
      </c>
    </row>
    <row r="167" customFormat="false" ht="15" hidden="false" customHeight="false" outlineLevel="0" collapsed="false">
      <c r="A167" s="23" t="s">
        <v>695</v>
      </c>
      <c r="B167" s="23" t="s">
        <v>696</v>
      </c>
      <c r="C167" s="23" t="s">
        <v>76</v>
      </c>
      <c r="D167" s="23" t="n">
        <v>11</v>
      </c>
      <c r="E167" s="24" t="n">
        <v>352.83197145218</v>
      </c>
      <c r="F167" s="24" t="n">
        <v>709.84515619278</v>
      </c>
      <c r="G167" s="24" t="n">
        <v>190.089997947216</v>
      </c>
      <c r="H167" s="24" t="n">
        <v>0</v>
      </c>
      <c r="I167" s="25" t="n">
        <v>-6.5</v>
      </c>
      <c r="J167" s="23" t="s">
        <v>700</v>
      </c>
    </row>
    <row r="168" customFormat="false" ht="15" hidden="false" customHeight="false" outlineLevel="0" collapsed="false">
      <c r="A168" s="23" t="s">
        <v>695</v>
      </c>
      <c r="B168" s="23" t="s">
        <v>696</v>
      </c>
      <c r="C168" s="23" t="s">
        <v>83</v>
      </c>
      <c r="D168" s="23" t="n">
        <v>22</v>
      </c>
      <c r="E168" s="24" t="n">
        <v>35.7199452934026</v>
      </c>
      <c r="F168" s="24" t="n">
        <v>4.39999175071716</v>
      </c>
      <c r="G168" s="24" t="n">
        <v>324.280001878738</v>
      </c>
      <c r="H168" s="24" t="n">
        <v>0</v>
      </c>
      <c r="I168" s="25" t="n">
        <v>-4</v>
      </c>
      <c r="J168" s="23" t="s">
        <v>701</v>
      </c>
    </row>
    <row r="169" customFormat="false" ht="15" hidden="false" customHeight="false" outlineLevel="0" collapsed="false">
      <c r="A169" s="23" t="s">
        <v>695</v>
      </c>
      <c r="B169" s="23" t="s">
        <v>696</v>
      </c>
      <c r="C169" s="23" t="s">
        <v>85</v>
      </c>
      <c r="D169" s="23" t="n">
        <v>5</v>
      </c>
      <c r="E169" s="24" t="n">
        <v>24.8549514338694</v>
      </c>
      <c r="F169" s="24" t="n">
        <v>5.4600043296814</v>
      </c>
      <c r="G169" s="24" t="n">
        <v>234.849886655808</v>
      </c>
      <c r="H169" s="24" t="n">
        <v>0</v>
      </c>
      <c r="I169" s="25" t="n">
        <v>-4</v>
      </c>
      <c r="J169" s="23" t="s">
        <v>702</v>
      </c>
    </row>
    <row r="170" customFormat="false" ht="15" hidden="false" customHeight="false" outlineLevel="0" collapsed="false">
      <c r="A170" s="23" t="s">
        <v>695</v>
      </c>
      <c r="B170" s="23" t="s">
        <v>696</v>
      </c>
      <c r="C170" s="23" t="s">
        <v>87</v>
      </c>
      <c r="D170" s="23" t="n">
        <v>7</v>
      </c>
      <c r="E170" s="24" t="n">
        <v>5.28750397872427</v>
      </c>
      <c r="F170" s="24" t="n">
        <v>26.4375076293945</v>
      </c>
      <c r="G170" s="24" t="n">
        <v>9.80000697821379</v>
      </c>
      <c r="H170" s="24" t="n">
        <v>0</v>
      </c>
      <c r="I170" s="25" t="n">
        <v>-4</v>
      </c>
      <c r="J170" s="23" t="s">
        <v>703</v>
      </c>
    </row>
    <row r="171" customFormat="false" ht="15" hidden="false" customHeight="false" outlineLevel="0" collapsed="false">
      <c r="A171" s="23" t="s">
        <v>695</v>
      </c>
      <c r="B171" s="23" t="s">
        <v>696</v>
      </c>
      <c r="C171" s="23" t="s">
        <v>81</v>
      </c>
      <c r="D171" s="23" t="n">
        <v>13</v>
      </c>
      <c r="E171" s="24" t="n">
        <v>233.069996351936</v>
      </c>
      <c r="F171" s="24" t="n">
        <v>582.420024871826</v>
      </c>
      <c r="G171" s="24" t="n">
        <v>687.670027893968</v>
      </c>
      <c r="H171" s="24" t="n">
        <v>0</v>
      </c>
      <c r="I171" s="25" t="n">
        <v>-0.150000005960465</v>
      </c>
      <c r="J171" s="23" t="s">
        <v>704</v>
      </c>
    </row>
    <row r="172" customFormat="false" ht="15" hidden="false" customHeight="false" outlineLevel="0" collapsed="false">
      <c r="A172" s="23" t="s">
        <v>695</v>
      </c>
      <c r="B172" s="23" t="s">
        <v>696</v>
      </c>
      <c r="C172" s="23" t="s">
        <v>79</v>
      </c>
      <c r="D172" s="23" t="n">
        <v>35</v>
      </c>
      <c r="E172" s="24" t="n">
        <v>902.202683023149</v>
      </c>
      <c r="F172" s="24" t="n">
        <v>150.369010178169</v>
      </c>
      <c r="G172" s="24" t="n">
        <v>4719.53973986692</v>
      </c>
      <c r="H172" s="24" t="n">
        <v>0</v>
      </c>
      <c r="I172" s="25" t="n">
        <v>-6</v>
      </c>
      <c r="J172" s="23" t="s">
        <v>705</v>
      </c>
    </row>
    <row r="173" customFormat="false" ht="15" hidden="false" customHeight="false" outlineLevel="0" collapsed="false">
      <c r="A173" s="23" t="s">
        <v>695</v>
      </c>
      <c r="B173" s="23" t="s">
        <v>696</v>
      </c>
      <c r="C173" s="23" t="s">
        <v>166</v>
      </c>
      <c r="D173" s="23" t="n">
        <v>9</v>
      </c>
      <c r="E173" s="24" t="n">
        <v>7.79098841326231</v>
      </c>
      <c r="F173" s="24" t="n">
        <v>27.4699839353561</v>
      </c>
      <c r="G173" s="24" t="n">
        <v>0</v>
      </c>
      <c r="H173" s="24" t="n">
        <v>0</v>
      </c>
      <c r="I173" s="25" t="n">
        <v>-5.19999980926514</v>
      </c>
      <c r="J173" s="23" t="s">
        <v>706</v>
      </c>
    </row>
    <row r="174" customFormat="false" ht="15" hidden="false" customHeight="false" outlineLevel="0" collapsed="false">
      <c r="A174" s="23" t="s">
        <v>707</v>
      </c>
      <c r="B174" s="23" t="s">
        <v>708</v>
      </c>
      <c r="C174" s="23" t="s">
        <v>282</v>
      </c>
      <c r="D174" s="23" t="n">
        <v>2</v>
      </c>
      <c r="E174" s="24" t="n">
        <v>2.10991190345603</v>
      </c>
      <c r="F174" s="24" t="n">
        <v>0.449994921684265</v>
      </c>
      <c r="G174" s="24" t="n">
        <v>0</v>
      </c>
      <c r="H174" s="24" t="n">
        <v>0</v>
      </c>
      <c r="I174" s="25" t="n">
        <v>1.20000004768372</v>
      </c>
      <c r="J174" s="23" t="s">
        <v>709</v>
      </c>
    </row>
    <row r="175" customFormat="false" ht="15" hidden="false" customHeight="false" outlineLevel="0" collapsed="false">
      <c r="A175" s="23" t="s">
        <v>707</v>
      </c>
      <c r="B175" s="23" t="s">
        <v>708</v>
      </c>
      <c r="C175" s="23" t="s">
        <v>91</v>
      </c>
      <c r="D175" s="23" t="n">
        <v>1</v>
      </c>
      <c r="E175" s="24" t="n">
        <v>34.7360925918388</v>
      </c>
      <c r="F175" s="24" t="n">
        <v>347.360853672028</v>
      </c>
      <c r="G175" s="24" t="n">
        <v>0</v>
      </c>
      <c r="H175" s="24" t="n">
        <v>0</v>
      </c>
      <c r="I175" s="25" t="n">
        <v>0.699999988079071</v>
      </c>
      <c r="J175" s="23" t="s">
        <v>710</v>
      </c>
    </row>
    <row r="176" customFormat="false" ht="15" hidden="false" customHeight="false" outlineLevel="0" collapsed="false">
      <c r="A176" s="23" t="s">
        <v>707</v>
      </c>
      <c r="B176" s="23" t="s">
        <v>708</v>
      </c>
      <c r="C176" s="23" t="s">
        <v>278</v>
      </c>
      <c r="D176" s="23" t="n">
        <v>24</v>
      </c>
      <c r="E176" s="24" t="n">
        <v>124.665384985734</v>
      </c>
      <c r="F176" s="24" t="n">
        <v>74.0498905368295</v>
      </c>
      <c r="G176" s="24" t="n">
        <v>0</v>
      </c>
      <c r="H176" s="24" t="n">
        <v>0</v>
      </c>
      <c r="I176" s="25" t="n">
        <v>1.39999997615814</v>
      </c>
      <c r="J176" s="23" t="s">
        <v>711</v>
      </c>
    </row>
    <row r="177" customFormat="false" ht="15" hidden="false" customHeight="false" outlineLevel="0" collapsed="false">
      <c r="A177" s="23" t="s">
        <v>707</v>
      </c>
      <c r="B177" s="23" t="s">
        <v>708</v>
      </c>
      <c r="C177" s="23" t="s">
        <v>76</v>
      </c>
      <c r="D177" s="23" t="n">
        <v>1</v>
      </c>
      <c r="E177" s="24" t="n">
        <v>135.376149739451</v>
      </c>
      <c r="F177" s="24" t="n">
        <v>338.440270423889</v>
      </c>
      <c r="G177" s="24" t="n">
        <v>100.16919927299</v>
      </c>
      <c r="H177" s="24" t="n">
        <v>0</v>
      </c>
      <c r="I177" s="25" t="n">
        <v>0.800000011920929</v>
      </c>
      <c r="J177" s="23" t="s">
        <v>712</v>
      </c>
    </row>
    <row r="178" customFormat="false" ht="15" hidden="false" customHeight="false" outlineLevel="0" collapsed="false">
      <c r="A178" s="23" t="s">
        <v>707</v>
      </c>
      <c r="B178" s="23" t="s">
        <v>708</v>
      </c>
      <c r="C178" s="23" t="s">
        <v>83</v>
      </c>
      <c r="D178" s="23" t="n">
        <v>40</v>
      </c>
      <c r="E178" s="24" t="n">
        <v>73.2998006024028</v>
      </c>
      <c r="F178" s="24" t="n">
        <v>50.7999091148377</v>
      </c>
      <c r="G178" s="24" t="n">
        <v>552.399276375771</v>
      </c>
      <c r="H178" s="24" t="n">
        <v>0</v>
      </c>
      <c r="I178" s="25" t="n">
        <v>1.20000004768372</v>
      </c>
      <c r="J178" s="23" t="s">
        <v>713</v>
      </c>
    </row>
    <row r="179" customFormat="false" ht="15" hidden="false" customHeight="false" outlineLevel="0" collapsed="false">
      <c r="A179" s="23" t="s">
        <v>707</v>
      </c>
      <c r="B179" s="23" t="s">
        <v>708</v>
      </c>
      <c r="C179" s="23" t="s">
        <v>85</v>
      </c>
      <c r="D179" s="23" t="n">
        <v>6</v>
      </c>
      <c r="E179" s="24" t="n">
        <v>63.3102302435636</v>
      </c>
      <c r="F179" s="24" t="n">
        <v>105.39962041378</v>
      </c>
      <c r="G179" s="24" t="n">
        <v>441.489019885659</v>
      </c>
      <c r="H179" s="24" t="n">
        <v>0</v>
      </c>
      <c r="I179" s="25" t="n">
        <v>-0.0500000007450581</v>
      </c>
      <c r="J179" s="23" t="s">
        <v>714</v>
      </c>
    </row>
    <row r="180" customFormat="false" ht="15" hidden="false" customHeight="false" outlineLevel="0" collapsed="false">
      <c r="A180" s="23" t="s">
        <v>707</v>
      </c>
      <c r="B180" s="23" t="s">
        <v>708</v>
      </c>
      <c r="C180" s="23" t="s">
        <v>87</v>
      </c>
      <c r="D180" s="23" t="n">
        <v>10</v>
      </c>
      <c r="E180" s="24" t="n">
        <v>14.9999976431068</v>
      </c>
      <c r="F180" s="24" t="n">
        <v>75.0000553131104</v>
      </c>
      <c r="G180" s="24" t="n">
        <v>21.9999867230654</v>
      </c>
      <c r="H180" s="24" t="n">
        <v>0</v>
      </c>
      <c r="I180" s="25" t="n">
        <v>1.20000004768372</v>
      </c>
      <c r="J180" s="23" t="s">
        <v>715</v>
      </c>
    </row>
    <row r="181" customFormat="false" ht="15" hidden="false" customHeight="false" outlineLevel="0" collapsed="false">
      <c r="A181" s="23" t="s">
        <v>707</v>
      </c>
      <c r="B181" s="23" t="s">
        <v>708</v>
      </c>
      <c r="C181" s="23" t="s">
        <v>81</v>
      </c>
      <c r="D181" s="23" t="n">
        <v>8</v>
      </c>
      <c r="E181" s="24" t="n">
        <v>96.876674247148</v>
      </c>
      <c r="F181" s="24" t="n">
        <v>529.28618991375</v>
      </c>
      <c r="G181" s="24" t="n">
        <v>558.55538955424</v>
      </c>
      <c r="H181" s="24" t="n">
        <v>0</v>
      </c>
      <c r="I181" s="25" t="n">
        <v>0.800000011920929</v>
      </c>
      <c r="J181" s="23" t="s">
        <v>716</v>
      </c>
    </row>
    <row r="182" customFormat="false" ht="15" hidden="false" customHeight="false" outlineLevel="0" collapsed="false">
      <c r="A182" s="23" t="s">
        <v>707</v>
      </c>
      <c r="B182" s="23" t="s">
        <v>708</v>
      </c>
      <c r="C182" s="23" t="s">
        <v>79</v>
      </c>
      <c r="D182" s="23" t="n">
        <v>8</v>
      </c>
      <c r="E182" s="24" t="n">
        <v>259.823605653278</v>
      </c>
      <c r="F182" s="24" t="n">
        <v>44.6104521751404</v>
      </c>
      <c r="G182" s="24" t="n">
        <v>1832.35965973442</v>
      </c>
      <c r="H182" s="24" t="n">
        <v>0</v>
      </c>
      <c r="I182" s="25" t="n">
        <v>1.20000004768372</v>
      </c>
      <c r="J182" s="23" t="s">
        <v>717</v>
      </c>
    </row>
    <row r="183" customFormat="false" ht="15" hidden="false" customHeight="false" outlineLevel="0" collapsed="false">
      <c r="A183" s="23" t="s">
        <v>718</v>
      </c>
      <c r="B183" s="23" t="s">
        <v>719</v>
      </c>
      <c r="C183" s="23" t="s">
        <v>91</v>
      </c>
      <c r="D183" s="23" t="n">
        <v>1</v>
      </c>
      <c r="E183" s="24" t="n">
        <v>98.157252963474</v>
      </c>
      <c r="F183" s="24" t="n">
        <v>486.869411189109</v>
      </c>
      <c r="G183" s="24" t="n">
        <v>0</v>
      </c>
      <c r="H183" s="24" t="n">
        <v>0</v>
      </c>
      <c r="I183" s="25" t="n">
        <v>-1.37000000476837</v>
      </c>
      <c r="J183" s="23" t="s">
        <v>720</v>
      </c>
    </row>
    <row r="184" customFormat="false" ht="15" hidden="false" customHeight="false" outlineLevel="0" collapsed="false">
      <c r="A184" s="23" t="s">
        <v>718</v>
      </c>
      <c r="B184" s="23" t="s">
        <v>719</v>
      </c>
      <c r="C184" s="23" t="s">
        <v>312</v>
      </c>
      <c r="D184" s="23" t="n">
        <v>1</v>
      </c>
      <c r="E184" s="24" t="n">
        <v>0.212221790211416</v>
      </c>
      <c r="F184" s="24" t="n">
        <v>35.3699684143066</v>
      </c>
      <c r="G184" s="24" t="n">
        <v>0</v>
      </c>
      <c r="H184" s="24" t="n">
        <v>0</v>
      </c>
      <c r="I184" s="25" t="n">
        <v>5.17500019073486</v>
      </c>
      <c r="J184" s="23" t="s">
        <v>721</v>
      </c>
    </row>
    <row r="185" customFormat="false" ht="15" hidden="false" customHeight="false" outlineLevel="0" collapsed="false">
      <c r="A185" s="23" t="s">
        <v>718</v>
      </c>
      <c r="B185" s="23" t="s">
        <v>719</v>
      </c>
      <c r="C185" s="23" t="s">
        <v>117</v>
      </c>
      <c r="D185" s="23" t="n">
        <v>28</v>
      </c>
      <c r="E185" s="24" t="n">
        <v>0.116868856401668</v>
      </c>
      <c r="F185" s="24" t="n">
        <v>0.0566857729572803</v>
      </c>
      <c r="G185" s="24" t="n">
        <v>0</v>
      </c>
      <c r="H185" s="24" t="n">
        <v>35.7239398956299</v>
      </c>
      <c r="I185" s="25" t="n">
        <v>1</v>
      </c>
      <c r="J185" s="23" t="s">
        <v>722</v>
      </c>
    </row>
    <row r="186" customFormat="false" ht="15" hidden="false" customHeight="false" outlineLevel="0" collapsed="false">
      <c r="A186" s="23" t="s">
        <v>718</v>
      </c>
      <c r="B186" s="23" t="s">
        <v>719</v>
      </c>
      <c r="C186" s="23" t="s">
        <v>103</v>
      </c>
      <c r="D186" s="23" t="n">
        <v>41</v>
      </c>
      <c r="E186" s="24" t="n">
        <v>42.3155669638126</v>
      </c>
      <c r="F186" s="24" t="n">
        <v>11.5178785324097</v>
      </c>
      <c r="G186" s="24" t="n">
        <v>0</v>
      </c>
      <c r="H186" s="24" t="n">
        <v>0</v>
      </c>
      <c r="I186" s="25" t="n">
        <v>-3.79999995231628</v>
      </c>
      <c r="J186" s="23" t="s">
        <v>723</v>
      </c>
    </row>
    <row r="187" customFormat="false" ht="15" hidden="false" customHeight="false" outlineLevel="0" collapsed="false">
      <c r="A187" s="23" t="s">
        <v>718</v>
      </c>
      <c r="B187" s="23" t="s">
        <v>719</v>
      </c>
      <c r="C187" s="23" t="s">
        <v>76</v>
      </c>
      <c r="D187" s="23" t="n">
        <v>4</v>
      </c>
      <c r="E187" s="24" t="n">
        <v>307.617061101276</v>
      </c>
      <c r="F187" s="24" t="n">
        <v>508.778487045318</v>
      </c>
      <c r="G187" s="24" t="n">
        <v>69.0687766673236</v>
      </c>
      <c r="H187" s="24" t="n">
        <v>0</v>
      </c>
      <c r="I187" s="25" t="n">
        <v>-1.16999995708466</v>
      </c>
      <c r="J187" s="23" t="s">
        <v>724</v>
      </c>
    </row>
    <row r="188" customFormat="false" ht="15" hidden="false" customHeight="false" outlineLevel="0" collapsed="false">
      <c r="A188" s="23" t="s">
        <v>718</v>
      </c>
      <c r="B188" s="23" t="s">
        <v>719</v>
      </c>
      <c r="C188" s="23" t="s">
        <v>89</v>
      </c>
      <c r="D188" s="23" t="n">
        <v>104</v>
      </c>
      <c r="E188" s="24" t="n">
        <v>5.33044758429112</v>
      </c>
      <c r="F188" s="24" t="n">
        <v>1.29002444446087</v>
      </c>
      <c r="G188" s="24" t="n">
        <v>171.06562902499</v>
      </c>
      <c r="H188" s="24" t="n">
        <v>0</v>
      </c>
      <c r="I188" s="25" t="n">
        <v>5.02499866485596</v>
      </c>
      <c r="J188" s="23" t="s">
        <v>725</v>
      </c>
    </row>
    <row r="189" customFormat="false" ht="15" hidden="false" customHeight="false" outlineLevel="0" collapsed="false">
      <c r="A189" s="23" t="s">
        <v>718</v>
      </c>
      <c r="B189" s="23" t="s">
        <v>719</v>
      </c>
      <c r="C189" s="23" t="s">
        <v>83</v>
      </c>
      <c r="D189" s="23" t="n">
        <v>6</v>
      </c>
      <c r="E189" s="24" t="n">
        <v>6.8759946636539</v>
      </c>
      <c r="F189" s="24" t="n">
        <v>4.96000099182129</v>
      </c>
      <c r="G189" s="24" t="n">
        <v>57.5197122395039</v>
      </c>
      <c r="H189" s="24" t="n">
        <v>0</v>
      </c>
      <c r="I189" s="25" t="n">
        <v>0.5</v>
      </c>
      <c r="J189" s="23" t="s">
        <v>726</v>
      </c>
    </row>
    <row r="190" customFormat="false" ht="15" hidden="false" customHeight="false" outlineLevel="0" collapsed="false">
      <c r="A190" s="23" t="s">
        <v>718</v>
      </c>
      <c r="B190" s="23" t="s">
        <v>719</v>
      </c>
      <c r="C190" s="23" t="s">
        <v>85</v>
      </c>
      <c r="D190" s="23" t="n">
        <v>1</v>
      </c>
      <c r="E190" s="24" t="n">
        <v>36.6275318544787</v>
      </c>
      <c r="F190" s="24" t="n">
        <v>91.5688343048096</v>
      </c>
      <c r="G190" s="24" t="n">
        <v>155.277468621731</v>
      </c>
      <c r="H190" s="24" t="n">
        <v>0</v>
      </c>
      <c r="I190" s="25" t="n">
        <v>3.09999990463257</v>
      </c>
      <c r="J190" s="23" t="s">
        <v>727</v>
      </c>
    </row>
    <row r="191" customFormat="false" ht="15" hidden="false" customHeight="false" outlineLevel="0" collapsed="false">
      <c r="A191" s="23" t="s">
        <v>718</v>
      </c>
      <c r="B191" s="23" t="s">
        <v>719</v>
      </c>
      <c r="C191" s="23" t="s">
        <v>81</v>
      </c>
      <c r="D191" s="23" t="n">
        <v>4</v>
      </c>
      <c r="E191" s="24" t="n">
        <v>1.65001167128909</v>
      </c>
      <c r="F191" s="24" t="n">
        <v>7.25004959106445</v>
      </c>
      <c r="G191" s="24" t="n">
        <v>12.9300548434258</v>
      </c>
      <c r="H191" s="24" t="n">
        <v>0</v>
      </c>
      <c r="I191" s="25" t="n">
        <v>2.97499990463257</v>
      </c>
      <c r="J191" s="23" t="s">
        <v>728</v>
      </c>
    </row>
    <row r="192" customFormat="false" ht="15" hidden="false" customHeight="false" outlineLevel="0" collapsed="false">
      <c r="A192" s="23" t="s">
        <v>718</v>
      </c>
      <c r="B192" s="23" t="s">
        <v>719</v>
      </c>
      <c r="C192" s="23" t="s">
        <v>79</v>
      </c>
      <c r="D192" s="23" t="n">
        <v>2</v>
      </c>
      <c r="E192" s="24" t="n">
        <v>204.858480689229</v>
      </c>
      <c r="F192" s="24" t="n">
        <v>77.2696032524109</v>
      </c>
      <c r="G192" s="24" t="n">
        <v>764.943607866764</v>
      </c>
      <c r="H192" s="24" t="n">
        <v>0</v>
      </c>
      <c r="I192" s="25" t="n">
        <v>0.5</v>
      </c>
      <c r="J192" s="23" t="s">
        <v>729</v>
      </c>
    </row>
    <row r="193" customFormat="false" ht="15" hidden="false" customHeight="false" outlineLevel="0" collapsed="false">
      <c r="A193" s="23" t="s">
        <v>718</v>
      </c>
      <c r="B193" s="23" t="s">
        <v>719</v>
      </c>
      <c r="C193" s="23" t="s">
        <v>166</v>
      </c>
      <c r="D193" s="23" t="n">
        <v>8</v>
      </c>
      <c r="E193" s="24" t="n">
        <v>5.69840784682378</v>
      </c>
      <c r="F193" s="24" t="n">
        <v>8.69998073577881</v>
      </c>
      <c r="G193" s="24" t="n">
        <v>0</v>
      </c>
      <c r="H193" s="24" t="n">
        <v>0</v>
      </c>
      <c r="I193" s="25" t="n">
        <v>0.5</v>
      </c>
      <c r="J193" s="23" t="s">
        <v>730</v>
      </c>
    </row>
    <row r="194" customFormat="false" ht="15" hidden="false" customHeight="false" outlineLevel="0" collapsed="false">
      <c r="A194" s="23" t="s">
        <v>718</v>
      </c>
      <c r="B194" s="23" t="s">
        <v>731</v>
      </c>
      <c r="C194" s="23" t="s">
        <v>91</v>
      </c>
      <c r="D194" s="23" t="n">
        <v>1</v>
      </c>
      <c r="E194" s="24" t="n">
        <v>98.1572285149788</v>
      </c>
      <c r="F194" s="24" t="n">
        <v>486.86958213523</v>
      </c>
      <c r="G194" s="24" t="n">
        <v>0</v>
      </c>
      <c r="H194" s="24" t="n">
        <v>0</v>
      </c>
      <c r="I194" s="25" t="n">
        <v>-1.37000000476837</v>
      </c>
      <c r="J194" s="23" t="s">
        <v>720</v>
      </c>
    </row>
    <row r="195" customFormat="false" ht="15" hidden="false" customHeight="false" outlineLevel="0" collapsed="false">
      <c r="A195" s="23" t="s">
        <v>718</v>
      </c>
      <c r="B195" s="23" t="s">
        <v>731</v>
      </c>
      <c r="C195" s="23" t="s">
        <v>312</v>
      </c>
      <c r="D195" s="23" t="n">
        <v>1</v>
      </c>
      <c r="E195" s="24" t="n">
        <v>0.212221169382895</v>
      </c>
      <c r="F195" s="24" t="n">
        <v>35.3701019287109</v>
      </c>
      <c r="G195" s="24" t="n">
        <v>0</v>
      </c>
      <c r="H195" s="24" t="n">
        <v>0</v>
      </c>
      <c r="I195" s="25" t="n">
        <v>5.17500019073486</v>
      </c>
      <c r="J195" s="23" t="s">
        <v>721</v>
      </c>
    </row>
    <row r="196" customFormat="false" ht="15" hidden="false" customHeight="false" outlineLevel="0" collapsed="false">
      <c r="A196" s="23" t="s">
        <v>718</v>
      </c>
      <c r="B196" s="23" t="s">
        <v>731</v>
      </c>
      <c r="C196" s="23" t="s">
        <v>117</v>
      </c>
      <c r="D196" s="23" t="n">
        <v>28</v>
      </c>
      <c r="E196" s="24" t="n">
        <v>0.116868998113892</v>
      </c>
      <c r="F196" s="24" t="n">
        <v>0.0566862029954791</v>
      </c>
      <c r="G196" s="24" t="n">
        <v>0</v>
      </c>
      <c r="H196" s="24" t="n">
        <v>35.7239398956299</v>
      </c>
      <c r="I196" s="25" t="n">
        <v>1</v>
      </c>
      <c r="J196" s="23" t="s">
        <v>722</v>
      </c>
    </row>
    <row r="197" customFormat="false" ht="15" hidden="false" customHeight="false" outlineLevel="0" collapsed="false">
      <c r="A197" s="23" t="s">
        <v>718</v>
      </c>
      <c r="B197" s="23" t="s">
        <v>731</v>
      </c>
      <c r="C197" s="23" t="s">
        <v>103</v>
      </c>
      <c r="D197" s="23" t="n">
        <v>41</v>
      </c>
      <c r="E197" s="24" t="n">
        <v>42.3161553100215</v>
      </c>
      <c r="F197" s="24" t="n">
        <v>11.5180104970932</v>
      </c>
      <c r="G197" s="24" t="n">
        <v>0</v>
      </c>
      <c r="H197" s="24" t="n">
        <v>0</v>
      </c>
      <c r="I197" s="25" t="n">
        <v>-3.79999995231628</v>
      </c>
      <c r="J197" s="23" t="s">
        <v>723</v>
      </c>
    </row>
    <row r="198" customFormat="false" ht="15" hidden="false" customHeight="false" outlineLevel="0" collapsed="false">
      <c r="A198" s="23" t="s">
        <v>718</v>
      </c>
      <c r="B198" s="23" t="s">
        <v>731</v>
      </c>
      <c r="C198" s="23" t="s">
        <v>76</v>
      </c>
      <c r="D198" s="23" t="n">
        <v>4</v>
      </c>
      <c r="E198" s="24" t="n">
        <v>307.616947155137</v>
      </c>
      <c r="F198" s="24" t="n">
        <v>508.778546411544</v>
      </c>
      <c r="G198" s="24" t="n">
        <v>69.0687149356763</v>
      </c>
      <c r="H198" s="24" t="n">
        <v>0</v>
      </c>
      <c r="I198" s="25" t="n">
        <v>-1.16999995708466</v>
      </c>
      <c r="J198" s="23" t="s">
        <v>724</v>
      </c>
    </row>
    <row r="199" customFormat="false" ht="15" hidden="false" customHeight="false" outlineLevel="0" collapsed="false">
      <c r="A199" s="23" t="s">
        <v>718</v>
      </c>
      <c r="B199" s="23" t="s">
        <v>731</v>
      </c>
      <c r="C199" s="23" t="s">
        <v>89</v>
      </c>
      <c r="D199" s="23" t="n">
        <v>104</v>
      </c>
      <c r="E199" s="24" t="n">
        <v>5.33032772268036</v>
      </c>
      <c r="F199" s="24" t="n">
        <v>1.28999661654234</v>
      </c>
      <c r="G199" s="24" t="n">
        <v>171.063473850489</v>
      </c>
      <c r="H199" s="24" t="n">
        <v>0</v>
      </c>
      <c r="I199" s="25" t="n">
        <v>5.02499866485596</v>
      </c>
      <c r="J199" s="23" t="s">
        <v>725</v>
      </c>
    </row>
    <row r="200" customFormat="false" ht="15" hidden="false" customHeight="false" outlineLevel="0" collapsed="false">
      <c r="A200" s="23" t="s">
        <v>718</v>
      </c>
      <c r="B200" s="23" t="s">
        <v>731</v>
      </c>
      <c r="C200" s="23" t="s">
        <v>83</v>
      </c>
      <c r="D200" s="23" t="n">
        <v>6</v>
      </c>
      <c r="E200" s="24" t="n">
        <v>6.87600548137078</v>
      </c>
      <c r="F200" s="24" t="n">
        <v>4.96000099182129</v>
      </c>
      <c r="G200" s="24" t="n">
        <v>57.5199272632599</v>
      </c>
      <c r="H200" s="24" t="n">
        <v>0</v>
      </c>
      <c r="I200" s="25" t="n">
        <v>0.5</v>
      </c>
      <c r="J200" s="23" t="s">
        <v>726</v>
      </c>
    </row>
    <row r="201" customFormat="false" ht="15" hidden="false" customHeight="false" outlineLevel="0" collapsed="false">
      <c r="A201" s="23" t="s">
        <v>718</v>
      </c>
      <c r="B201" s="23" t="s">
        <v>731</v>
      </c>
      <c r="C201" s="23" t="s">
        <v>85</v>
      </c>
      <c r="D201" s="23" t="n">
        <v>1</v>
      </c>
      <c r="E201" s="24" t="n">
        <v>36.627576261626</v>
      </c>
      <c r="F201" s="24" t="n">
        <v>91.5689277648926</v>
      </c>
      <c r="G201" s="24" t="n">
        <v>155.277595832944</v>
      </c>
      <c r="H201" s="24" t="n">
        <v>0</v>
      </c>
      <c r="I201" s="25" t="n">
        <v>3.09999990463257</v>
      </c>
      <c r="J201" s="23" t="s">
        <v>727</v>
      </c>
    </row>
    <row r="202" customFormat="false" ht="15" hidden="false" customHeight="false" outlineLevel="0" collapsed="false">
      <c r="A202" s="23" t="s">
        <v>718</v>
      </c>
      <c r="B202" s="23" t="s">
        <v>731</v>
      </c>
      <c r="C202" s="23" t="s">
        <v>81</v>
      </c>
      <c r="D202" s="23" t="n">
        <v>4</v>
      </c>
      <c r="E202" s="24" t="n">
        <v>1.64999567397238</v>
      </c>
      <c r="F202" s="24" t="n">
        <v>7.24997901916504</v>
      </c>
      <c r="G202" s="24" t="n">
        <v>12.9299857467413</v>
      </c>
      <c r="H202" s="24" t="n">
        <v>0</v>
      </c>
      <c r="I202" s="25" t="n">
        <v>2.97499990463257</v>
      </c>
      <c r="J202" s="23" t="s">
        <v>728</v>
      </c>
    </row>
    <row r="203" customFormat="false" ht="15" hidden="false" customHeight="false" outlineLevel="0" collapsed="false">
      <c r="A203" s="23" t="s">
        <v>718</v>
      </c>
      <c r="B203" s="23" t="s">
        <v>731</v>
      </c>
      <c r="C203" s="23" t="s">
        <v>79</v>
      </c>
      <c r="D203" s="23" t="n">
        <v>2</v>
      </c>
      <c r="E203" s="24" t="n">
        <v>204.85842385114</v>
      </c>
      <c r="F203" s="24" t="n">
        <v>77.269483089447</v>
      </c>
      <c r="G203" s="24" t="n">
        <v>764.94363039732</v>
      </c>
      <c r="H203" s="24" t="n">
        <v>0</v>
      </c>
      <c r="I203" s="25" t="n">
        <v>0.5</v>
      </c>
      <c r="J203" s="23" t="s">
        <v>729</v>
      </c>
    </row>
    <row r="204" customFormat="false" ht="15" hidden="false" customHeight="false" outlineLevel="0" collapsed="false">
      <c r="A204" s="23" t="s">
        <v>718</v>
      </c>
      <c r="B204" s="23" t="s">
        <v>731</v>
      </c>
      <c r="C204" s="23" t="s">
        <v>166</v>
      </c>
      <c r="D204" s="23" t="n">
        <v>8</v>
      </c>
      <c r="E204" s="24" t="n">
        <v>5.69841983391973</v>
      </c>
      <c r="F204" s="24" t="n">
        <v>8.7000412940979</v>
      </c>
      <c r="G204" s="24" t="n">
        <v>0</v>
      </c>
      <c r="H204" s="24" t="n">
        <v>0</v>
      </c>
      <c r="I204" s="25" t="n">
        <v>0.5</v>
      </c>
      <c r="J204" s="23" t="s">
        <v>730</v>
      </c>
    </row>
    <row r="205" customFormat="false" ht="15" hidden="false" customHeight="false" outlineLevel="0" collapsed="false">
      <c r="A205" s="23" t="s">
        <v>718</v>
      </c>
      <c r="B205" s="23" t="s">
        <v>732</v>
      </c>
      <c r="C205" s="23" t="s">
        <v>91</v>
      </c>
      <c r="D205" s="23" t="n">
        <v>1</v>
      </c>
      <c r="E205" s="24" t="n">
        <v>98.1572309416848</v>
      </c>
      <c r="F205" s="24" t="n">
        <v>486.86914082244</v>
      </c>
      <c r="G205" s="24" t="n">
        <v>0</v>
      </c>
      <c r="H205" s="24" t="n">
        <v>0</v>
      </c>
      <c r="I205" s="25" t="n">
        <v>-1.37000000476837</v>
      </c>
      <c r="J205" s="23" t="s">
        <v>720</v>
      </c>
    </row>
    <row r="206" customFormat="false" ht="15" hidden="false" customHeight="false" outlineLevel="0" collapsed="false">
      <c r="A206" s="23" t="s">
        <v>718</v>
      </c>
      <c r="B206" s="23" t="s">
        <v>732</v>
      </c>
      <c r="C206" s="23" t="s">
        <v>312</v>
      </c>
      <c r="D206" s="23" t="n">
        <v>1</v>
      </c>
      <c r="E206" s="24" t="n">
        <v>0.212221169384047</v>
      </c>
      <c r="F206" s="24" t="n">
        <v>35.3699188232422</v>
      </c>
      <c r="G206" s="24" t="n">
        <v>0</v>
      </c>
      <c r="H206" s="24" t="n">
        <v>0</v>
      </c>
      <c r="I206" s="25" t="n">
        <v>5.17500019073486</v>
      </c>
      <c r="J206" s="23" t="s">
        <v>721</v>
      </c>
    </row>
    <row r="207" customFormat="false" ht="15" hidden="false" customHeight="false" outlineLevel="0" collapsed="false">
      <c r="A207" s="23" t="s">
        <v>718</v>
      </c>
      <c r="B207" s="23" t="s">
        <v>732</v>
      </c>
      <c r="C207" s="23" t="s">
        <v>117</v>
      </c>
      <c r="D207" s="23" t="n">
        <v>28</v>
      </c>
      <c r="E207" s="24" t="n">
        <v>0.116891354987523</v>
      </c>
      <c r="F207" s="24" t="n">
        <v>0.0567032643593848</v>
      </c>
      <c r="G207" s="24" t="n">
        <v>0</v>
      </c>
      <c r="H207" s="24" t="n">
        <v>35.7239398956299</v>
      </c>
      <c r="I207" s="25" t="n">
        <v>1</v>
      </c>
      <c r="J207" s="23" t="s">
        <v>722</v>
      </c>
    </row>
    <row r="208" customFormat="false" ht="15" hidden="false" customHeight="false" outlineLevel="0" collapsed="false">
      <c r="A208" s="23" t="s">
        <v>718</v>
      </c>
      <c r="B208" s="23" t="s">
        <v>732</v>
      </c>
      <c r="C208" s="23" t="s">
        <v>103</v>
      </c>
      <c r="D208" s="23" t="n">
        <v>41</v>
      </c>
      <c r="E208" s="24" t="n">
        <v>42.3161480624822</v>
      </c>
      <c r="F208" s="24" t="n">
        <v>11.5180195569992</v>
      </c>
      <c r="G208" s="24" t="n">
        <v>0</v>
      </c>
      <c r="H208" s="24" t="n">
        <v>0</v>
      </c>
      <c r="I208" s="25" t="n">
        <v>-3.79999995231628</v>
      </c>
      <c r="J208" s="23" t="s">
        <v>723</v>
      </c>
    </row>
    <row r="209" customFormat="false" ht="15" hidden="false" customHeight="false" outlineLevel="0" collapsed="false">
      <c r="A209" s="23" t="s">
        <v>718</v>
      </c>
      <c r="B209" s="23" t="s">
        <v>732</v>
      </c>
      <c r="C209" s="23" t="s">
        <v>76</v>
      </c>
      <c r="D209" s="23" t="n">
        <v>4</v>
      </c>
      <c r="E209" s="24" t="n">
        <v>307.61694975542</v>
      </c>
      <c r="F209" s="24" t="n">
        <v>508.778630096465</v>
      </c>
      <c r="G209" s="24" t="n">
        <v>69.0686797364378</v>
      </c>
      <c r="H209" s="24" t="n">
        <v>0</v>
      </c>
      <c r="I209" s="25" t="n">
        <v>-1.16999995708466</v>
      </c>
      <c r="J209" s="23" t="s">
        <v>724</v>
      </c>
    </row>
    <row r="210" customFormat="false" ht="15" hidden="false" customHeight="false" outlineLevel="0" collapsed="false">
      <c r="A210" s="23" t="s">
        <v>718</v>
      </c>
      <c r="B210" s="23" t="s">
        <v>732</v>
      </c>
      <c r="C210" s="23" t="s">
        <v>89</v>
      </c>
      <c r="D210" s="23" t="n">
        <v>104</v>
      </c>
      <c r="E210" s="24" t="n">
        <v>5.33032683071506</v>
      </c>
      <c r="F210" s="24" t="n">
        <v>1.28999150171876</v>
      </c>
      <c r="G210" s="24" t="n">
        <v>171.063489412889</v>
      </c>
      <c r="H210" s="24" t="n">
        <v>0</v>
      </c>
      <c r="I210" s="25" t="n">
        <v>5.02499866485596</v>
      </c>
      <c r="J210" s="23" t="s">
        <v>725</v>
      </c>
    </row>
    <row r="211" customFormat="false" ht="15" hidden="false" customHeight="false" outlineLevel="0" collapsed="false">
      <c r="A211" s="23" t="s">
        <v>718</v>
      </c>
      <c r="B211" s="23" t="s">
        <v>732</v>
      </c>
      <c r="C211" s="23" t="s">
        <v>83</v>
      </c>
      <c r="D211" s="23" t="n">
        <v>6</v>
      </c>
      <c r="E211" s="24" t="n">
        <v>6.87601893973965</v>
      </c>
      <c r="F211" s="24" t="n">
        <v>4.96002864837647</v>
      </c>
      <c r="G211" s="24" t="n">
        <v>57.5200832188129</v>
      </c>
      <c r="H211" s="24" t="n">
        <v>0</v>
      </c>
      <c r="I211" s="25" t="n">
        <v>0.5</v>
      </c>
      <c r="J211" s="23" t="s">
        <v>726</v>
      </c>
    </row>
    <row r="212" customFormat="false" ht="15" hidden="false" customHeight="false" outlineLevel="0" collapsed="false">
      <c r="A212" s="23" t="s">
        <v>718</v>
      </c>
      <c r="B212" s="23" t="s">
        <v>732</v>
      </c>
      <c r="C212" s="23" t="s">
        <v>85</v>
      </c>
      <c r="D212" s="23" t="n">
        <v>1</v>
      </c>
      <c r="E212" s="24" t="n">
        <v>36.6275864485047</v>
      </c>
      <c r="F212" s="24" t="n">
        <v>91.5689210891724</v>
      </c>
      <c r="G212" s="24" t="n">
        <v>155.277618259192</v>
      </c>
      <c r="H212" s="24" t="n">
        <v>0</v>
      </c>
      <c r="I212" s="25" t="n">
        <v>3.09999990463257</v>
      </c>
      <c r="J212" s="23" t="s">
        <v>727</v>
      </c>
    </row>
    <row r="213" customFormat="false" ht="15" hidden="false" customHeight="false" outlineLevel="0" collapsed="false">
      <c r="A213" s="23" t="s">
        <v>718</v>
      </c>
      <c r="B213" s="23" t="s">
        <v>732</v>
      </c>
      <c r="C213" s="23" t="s">
        <v>81</v>
      </c>
      <c r="D213" s="23" t="n">
        <v>4</v>
      </c>
      <c r="E213" s="24" t="n">
        <v>1.64999781395334</v>
      </c>
      <c r="F213" s="24" t="n">
        <v>7.25000190734863</v>
      </c>
      <c r="G213" s="24" t="n">
        <v>12.9300061166287</v>
      </c>
      <c r="H213" s="24" t="n">
        <v>0</v>
      </c>
      <c r="I213" s="25" t="n">
        <v>2.97499990463257</v>
      </c>
      <c r="J213" s="23" t="s">
        <v>728</v>
      </c>
    </row>
    <row r="214" customFormat="false" ht="15" hidden="false" customHeight="false" outlineLevel="0" collapsed="false">
      <c r="A214" s="23" t="s">
        <v>718</v>
      </c>
      <c r="B214" s="23" t="s">
        <v>732</v>
      </c>
      <c r="C214" s="23" t="s">
        <v>79</v>
      </c>
      <c r="D214" s="23" t="n">
        <v>2</v>
      </c>
      <c r="E214" s="24" t="n">
        <v>204.858396905096</v>
      </c>
      <c r="F214" s="24" t="n">
        <v>77.2695817947388</v>
      </c>
      <c r="G214" s="24" t="n">
        <v>764.943601608276</v>
      </c>
      <c r="H214" s="24" t="n">
        <v>0</v>
      </c>
      <c r="I214" s="25" t="n">
        <v>0.5</v>
      </c>
      <c r="J214" s="23" t="s">
        <v>729</v>
      </c>
    </row>
    <row r="215" customFormat="false" ht="15" hidden="false" customHeight="false" outlineLevel="0" collapsed="false">
      <c r="A215" s="23" t="s">
        <v>718</v>
      </c>
      <c r="B215" s="23" t="s">
        <v>732</v>
      </c>
      <c r="C215" s="23" t="s">
        <v>166</v>
      </c>
      <c r="D215" s="23" t="n">
        <v>8</v>
      </c>
      <c r="E215" s="24" t="n">
        <v>5.69840134710596</v>
      </c>
      <c r="F215" s="24" t="n">
        <v>8.6999945640564</v>
      </c>
      <c r="G215" s="24" t="n">
        <v>0</v>
      </c>
      <c r="H215" s="24" t="n">
        <v>0</v>
      </c>
      <c r="I215" s="25" t="n">
        <v>0.5</v>
      </c>
      <c r="J215" s="23" t="s">
        <v>730</v>
      </c>
    </row>
    <row r="216" customFormat="false" ht="15" hidden="false" customHeight="false" outlineLevel="0" collapsed="false">
      <c r="A216" s="23" t="s">
        <v>718</v>
      </c>
      <c r="B216" s="23" t="s">
        <v>733</v>
      </c>
      <c r="C216" s="23" t="s">
        <v>91</v>
      </c>
      <c r="D216" s="23" t="n">
        <v>1</v>
      </c>
      <c r="E216" s="24" t="n">
        <v>98.1572312014576</v>
      </c>
      <c r="F216" s="24" t="n">
        <v>486.869649361819</v>
      </c>
      <c r="G216" s="24" t="n">
        <v>0</v>
      </c>
      <c r="H216" s="24" t="n">
        <v>0</v>
      </c>
      <c r="I216" s="25" t="n">
        <v>-1.37000000476837</v>
      </c>
      <c r="J216" s="23" t="s">
        <v>720</v>
      </c>
    </row>
    <row r="217" customFormat="false" ht="15" hidden="false" customHeight="false" outlineLevel="0" collapsed="false">
      <c r="A217" s="23" t="s">
        <v>718</v>
      </c>
      <c r="B217" s="23" t="s">
        <v>733</v>
      </c>
      <c r="C217" s="23" t="s">
        <v>312</v>
      </c>
      <c r="D217" s="23" t="n">
        <v>1</v>
      </c>
      <c r="E217" s="24" t="n">
        <v>0.212221185377554</v>
      </c>
      <c r="F217" s="24" t="n">
        <v>35.3698806762695</v>
      </c>
      <c r="G217" s="24" t="n">
        <v>0</v>
      </c>
      <c r="H217" s="24" t="n">
        <v>0</v>
      </c>
      <c r="I217" s="25" t="n">
        <v>5.17500019073486</v>
      </c>
      <c r="J217" s="23" t="s">
        <v>721</v>
      </c>
    </row>
    <row r="218" customFormat="false" ht="15" hidden="false" customHeight="false" outlineLevel="0" collapsed="false">
      <c r="A218" s="23" t="s">
        <v>718</v>
      </c>
      <c r="B218" s="23" t="s">
        <v>733</v>
      </c>
      <c r="C218" s="23" t="s">
        <v>117</v>
      </c>
      <c r="D218" s="23" t="n">
        <v>28</v>
      </c>
      <c r="E218" s="24" t="n">
        <v>0.116894988097586</v>
      </c>
      <c r="F218" s="24" t="n">
        <v>0.0567067575175315</v>
      </c>
      <c r="G218" s="24" t="n">
        <v>0</v>
      </c>
      <c r="H218" s="24" t="n">
        <v>35.7239398956299</v>
      </c>
      <c r="I218" s="25" t="n">
        <v>1</v>
      </c>
      <c r="J218" s="23" t="s">
        <v>722</v>
      </c>
    </row>
    <row r="219" customFormat="false" ht="15" hidden="false" customHeight="false" outlineLevel="0" collapsed="false">
      <c r="A219" s="23" t="s">
        <v>718</v>
      </c>
      <c r="B219" s="23" t="s">
        <v>733</v>
      </c>
      <c r="C219" s="23" t="s">
        <v>103</v>
      </c>
      <c r="D219" s="23" t="n">
        <v>41</v>
      </c>
      <c r="E219" s="24" t="n">
        <v>42.3161863738583</v>
      </c>
      <c r="F219" s="24" t="n">
        <v>11.5180265903473</v>
      </c>
      <c r="G219" s="24" t="n">
        <v>0</v>
      </c>
      <c r="H219" s="24" t="n">
        <v>0</v>
      </c>
      <c r="I219" s="25" t="n">
        <v>-3.79999995231628</v>
      </c>
      <c r="J219" s="23" t="s">
        <v>723</v>
      </c>
    </row>
    <row r="220" customFormat="false" ht="15" hidden="false" customHeight="false" outlineLevel="0" collapsed="false">
      <c r="A220" s="23" t="s">
        <v>718</v>
      </c>
      <c r="B220" s="23" t="s">
        <v>733</v>
      </c>
      <c r="C220" s="23" t="s">
        <v>76</v>
      </c>
      <c r="D220" s="23" t="n">
        <v>4</v>
      </c>
      <c r="E220" s="24" t="n">
        <v>307.616958790255</v>
      </c>
      <c r="F220" s="24" t="n">
        <v>508.778828155249</v>
      </c>
      <c r="G220" s="24" t="n">
        <v>69.0686478397001</v>
      </c>
      <c r="H220" s="24" t="n">
        <v>0</v>
      </c>
      <c r="I220" s="25" t="n">
        <v>-1.16999995708466</v>
      </c>
      <c r="J220" s="23" t="s">
        <v>724</v>
      </c>
    </row>
    <row r="221" customFormat="false" ht="15" hidden="false" customHeight="false" outlineLevel="0" collapsed="false">
      <c r="A221" s="23" t="s">
        <v>718</v>
      </c>
      <c r="B221" s="23" t="s">
        <v>733</v>
      </c>
      <c r="C221" s="23" t="s">
        <v>89</v>
      </c>
      <c r="D221" s="23" t="n">
        <v>104</v>
      </c>
      <c r="E221" s="24" t="n">
        <v>5.33029502697965</v>
      </c>
      <c r="F221" s="24" t="n">
        <v>1.28999729733914</v>
      </c>
      <c r="G221" s="24" t="n">
        <v>171.063179666176</v>
      </c>
      <c r="H221" s="24" t="n">
        <v>0</v>
      </c>
      <c r="I221" s="25" t="n">
        <v>5.02499866485596</v>
      </c>
      <c r="J221" s="23" t="s">
        <v>725</v>
      </c>
    </row>
    <row r="222" customFormat="false" ht="15" hidden="false" customHeight="false" outlineLevel="0" collapsed="false">
      <c r="A222" s="23" t="s">
        <v>718</v>
      </c>
      <c r="B222" s="23" t="s">
        <v>733</v>
      </c>
      <c r="C222" s="23" t="s">
        <v>83</v>
      </c>
      <c r="D222" s="23" t="n">
        <v>6</v>
      </c>
      <c r="E222" s="24" t="n">
        <v>6.87608564845152</v>
      </c>
      <c r="F222" s="24" t="n">
        <v>4.96003675460815</v>
      </c>
      <c r="G222" s="24" t="n">
        <v>57.5203259587288</v>
      </c>
      <c r="H222" s="24" t="n">
        <v>0</v>
      </c>
      <c r="I222" s="25" t="n">
        <v>0.5</v>
      </c>
      <c r="J222" s="23" t="s">
        <v>726</v>
      </c>
    </row>
    <row r="223" customFormat="false" ht="15" hidden="false" customHeight="false" outlineLevel="0" collapsed="false">
      <c r="A223" s="23" t="s">
        <v>718</v>
      </c>
      <c r="B223" s="23" t="s">
        <v>733</v>
      </c>
      <c r="C223" s="23" t="s">
        <v>85</v>
      </c>
      <c r="D223" s="23" t="n">
        <v>1</v>
      </c>
      <c r="E223" s="24" t="n">
        <v>36.6276026446622</v>
      </c>
      <c r="F223" s="24" t="n">
        <v>91.5690116882324</v>
      </c>
      <c r="G223" s="24" t="n">
        <v>155.277667984366</v>
      </c>
      <c r="H223" s="24" t="n">
        <v>0</v>
      </c>
      <c r="I223" s="25" t="n">
        <v>3.09999990463257</v>
      </c>
      <c r="J223" s="23" t="s">
        <v>727</v>
      </c>
    </row>
    <row r="224" customFormat="false" ht="15" hidden="false" customHeight="false" outlineLevel="0" collapsed="false">
      <c r="A224" s="23" t="s">
        <v>718</v>
      </c>
      <c r="B224" s="23" t="s">
        <v>733</v>
      </c>
      <c r="C224" s="23" t="s">
        <v>81</v>
      </c>
      <c r="D224" s="23" t="n">
        <v>4</v>
      </c>
      <c r="E224" s="24" t="n">
        <v>1.65000883858969</v>
      </c>
      <c r="F224" s="24" t="n">
        <v>7.25002098083496</v>
      </c>
      <c r="G224" s="24" t="n">
        <v>12.930047005415</v>
      </c>
      <c r="H224" s="24" t="n">
        <v>0</v>
      </c>
      <c r="I224" s="25" t="n">
        <v>2.97499990463257</v>
      </c>
      <c r="J224" s="23" t="s">
        <v>728</v>
      </c>
    </row>
    <row r="225" customFormat="false" ht="15" hidden="false" customHeight="false" outlineLevel="0" collapsed="false">
      <c r="A225" s="23" t="s">
        <v>718</v>
      </c>
      <c r="B225" s="23" t="s">
        <v>733</v>
      </c>
      <c r="C225" s="23" t="s">
        <v>79</v>
      </c>
      <c r="D225" s="23" t="n">
        <v>2</v>
      </c>
      <c r="E225" s="24" t="n">
        <v>204.858444699422</v>
      </c>
      <c r="F225" s="24" t="n">
        <v>77.2695616483688</v>
      </c>
      <c r="G225" s="24" t="n">
        <v>764.943597078323</v>
      </c>
      <c r="H225" s="24" t="n">
        <v>0</v>
      </c>
      <c r="I225" s="25" t="n">
        <v>0.5</v>
      </c>
      <c r="J225" s="23" t="s">
        <v>729</v>
      </c>
    </row>
    <row r="226" customFormat="false" ht="15" hidden="false" customHeight="false" outlineLevel="0" collapsed="false">
      <c r="A226" s="23" t="s">
        <v>718</v>
      </c>
      <c r="B226" s="23" t="s">
        <v>733</v>
      </c>
      <c r="C226" s="23" t="s">
        <v>166</v>
      </c>
      <c r="D226" s="23" t="n">
        <v>8</v>
      </c>
      <c r="E226" s="24" t="n">
        <v>5.69840042003096</v>
      </c>
      <c r="F226" s="24" t="n">
        <v>8.70000410079956</v>
      </c>
      <c r="G226" s="24" t="n">
        <v>0</v>
      </c>
      <c r="H226" s="24" t="n">
        <v>0</v>
      </c>
      <c r="I226" s="25" t="n">
        <v>0.5</v>
      </c>
      <c r="J226" s="23" t="s">
        <v>730</v>
      </c>
    </row>
    <row r="227" customFormat="false" ht="15" hidden="false" customHeight="false" outlineLevel="0" collapsed="false">
      <c r="A227" s="23" t="s">
        <v>734</v>
      </c>
      <c r="B227" s="23" t="s">
        <v>735</v>
      </c>
      <c r="C227" s="23" t="s">
        <v>736</v>
      </c>
      <c r="D227" s="23" t="n">
        <v>1</v>
      </c>
      <c r="E227" s="24" t="n">
        <v>10.5842887940526</v>
      </c>
      <c r="F227" s="24" t="n">
        <v>529.202434539795</v>
      </c>
      <c r="G227" s="24" t="n">
        <v>0</v>
      </c>
      <c r="H227" s="24" t="n">
        <v>0</v>
      </c>
      <c r="I227" s="25" t="n">
        <v>20.6800003051758</v>
      </c>
      <c r="J227" s="23" t="s">
        <v>737</v>
      </c>
    </row>
    <row r="228" customFormat="false" ht="15" hidden="false" customHeight="false" outlineLevel="0" collapsed="false">
      <c r="A228" s="23" t="s">
        <v>734</v>
      </c>
      <c r="B228" s="23" t="s">
        <v>735</v>
      </c>
      <c r="C228" s="23" t="s">
        <v>117</v>
      </c>
      <c r="D228" s="23" t="n">
        <v>112</v>
      </c>
      <c r="E228" s="24" t="n">
        <v>0.620362071194206</v>
      </c>
      <c r="F228" s="24" t="n">
        <v>7.38752500433475</v>
      </c>
      <c r="G228" s="24" t="n">
        <v>0</v>
      </c>
      <c r="H228" s="24" t="n">
        <v>105.957880020142</v>
      </c>
      <c r="I228" s="25" t="n">
        <v>22.1995010375977</v>
      </c>
      <c r="J228" s="23" t="s">
        <v>738</v>
      </c>
    </row>
    <row r="229" customFormat="false" ht="15" hidden="false" customHeight="false" outlineLevel="0" collapsed="false">
      <c r="A229" s="23" t="s">
        <v>734</v>
      </c>
      <c r="B229" s="23" t="s">
        <v>735</v>
      </c>
      <c r="C229" s="23" t="s">
        <v>76</v>
      </c>
      <c r="D229" s="23" t="n">
        <v>3</v>
      </c>
      <c r="E229" s="24" t="n">
        <v>1246.91510199134</v>
      </c>
      <c r="F229" s="24" t="n">
        <v>1325.2104460001</v>
      </c>
      <c r="G229" s="24" t="n">
        <v>218.638136796653</v>
      </c>
      <c r="H229" s="24" t="n">
        <v>0</v>
      </c>
      <c r="I229" s="25" t="n">
        <v>-1.7913670539856</v>
      </c>
      <c r="J229" s="23" t="s">
        <v>739</v>
      </c>
    </row>
    <row r="230" customFormat="false" ht="15" hidden="false" customHeight="false" outlineLevel="0" collapsed="false">
      <c r="A230" s="23" t="s">
        <v>734</v>
      </c>
      <c r="B230" s="23" t="s">
        <v>735</v>
      </c>
      <c r="C230" s="23" t="s">
        <v>85</v>
      </c>
      <c r="D230" s="23" t="n">
        <v>2</v>
      </c>
      <c r="E230" s="24" t="n">
        <v>4.42970118888643</v>
      </c>
      <c r="F230" s="24" t="n">
        <v>1.20004272460938</v>
      </c>
      <c r="G230" s="24" t="n">
        <v>33.9607728719711</v>
      </c>
      <c r="H230" s="24" t="n">
        <v>0</v>
      </c>
      <c r="I230" s="25" t="n">
        <v>-1.49136698246002</v>
      </c>
      <c r="J230" s="23" t="s">
        <v>740</v>
      </c>
    </row>
    <row r="231" customFormat="false" ht="15" hidden="false" customHeight="false" outlineLevel="0" collapsed="false">
      <c r="A231" s="23" t="s">
        <v>734</v>
      </c>
      <c r="B231" s="23" t="s">
        <v>735</v>
      </c>
      <c r="C231" s="23" t="s">
        <v>81</v>
      </c>
      <c r="D231" s="23" t="n">
        <v>2</v>
      </c>
      <c r="E231" s="24" t="n">
        <v>151.066913878671</v>
      </c>
      <c r="F231" s="24" t="n">
        <v>713.506880658621</v>
      </c>
      <c r="G231" s="24" t="n">
        <v>856.610442553181</v>
      </c>
      <c r="H231" s="24" t="n">
        <v>0</v>
      </c>
      <c r="I231" s="25" t="n">
        <v>21.6000003814697</v>
      </c>
      <c r="J231" s="23" t="s">
        <v>741</v>
      </c>
    </row>
    <row r="232" customFormat="false" ht="15" hidden="false" customHeight="false" outlineLevel="0" collapsed="false">
      <c r="A232" s="23" t="s">
        <v>734</v>
      </c>
      <c r="B232" s="23" t="s">
        <v>735</v>
      </c>
      <c r="C232" s="23" t="s">
        <v>79</v>
      </c>
      <c r="D232" s="23" t="n">
        <v>3</v>
      </c>
      <c r="E232" s="24" t="n">
        <v>1205.71520781547</v>
      </c>
      <c r="F232" s="24" t="n">
        <v>60.9159125089645</v>
      </c>
      <c r="G232" s="24" t="n">
        <v>3469.03344148397</v>
      </c>
      <c r="H232" s="24" t="n">
        <v>0</v>
      </c>
      <c r="I232" s="25" t="n">
        <v>-1.49136698246002</v>
      </c>
      <c r="J232" s="23" t="s">
        <v>742</v>
      </c>
    </row>
    <row r="233" customFormat="false" ht="15" hidden="false" customHeight="false" outlineLevel="0" collapsed="false">
      <c r="A233" s="23" t="s">
        <v>734</v>
      </c>
      <c r="B233" s="23" t="s">
        <v>735</v>
      </c>
      <c r="C233" s="23" t="s">
        <v>166</v>
      </c>
      <c r="D233" s="23" t="n">
        <v>1</v>
      </c>
      <c r="E233" s="24" t="n">
        <v>1.60783553620337</v>
      </c>
      <c r="F233" s="24" t="n">
        <v>12.7698020935059</v>
      </c>
      <c r="G233" s="24" t="n">
        <v>0</v>
      </c>
      <c r="H233" s="24" t="n">
        <v>0</v>
      </c>
      <c r="I233" s="25" t="n">
        <v>22.199499130249</v>
      </c>
      <c r="J233" s="23" t="s">
        <v>743</v>
      </c>
    </row>
    <row r="234" customFormat="false" ht="15" hidden="false" customHeight="false" outlineLevel="0" collapsed="false">
      <c r="A234" s="23" t="s">
        <v>734</v>
      </c>
      <c r="B234" s="23" t="s">
        <v>744</v>
      </c>
      <c r="C234" s="23" t="s">
        <v>736</v>
      </c>
      <c r="D234" s="23" t="n">
        <v>1</v>
      </c>
      <c r="E234" s="24" t="n">
        <v>10.584288788243</v>
      </c>
      <c r="F234" s="24" t="n">
        <v>529.201976776123</v>
      </c>
      <c r="G234" s="24" t="n">
        <v>0</v>
      </c>
      <c r="H234" s="24" t="n">
        <v>0</v>
      </c>
      <c r="I234" s="25" t="n">
        <v>20.6800003051758</v>
      </c>
      <c r="J234" s="23" t="s">
        <v>737</v>
      </c>
    </row>
    <row r="235" customFormat="false" ht="15" hidden="false" customHeight="false" outlineLevel="0" collapsed="false">
      <c r="A235" s="23" t="s">
        <v>734</v>
      </c>
      <c r="B235" s="23" t="s">
        <v>744</v>
      </c>
      <c r="C235" s="23" t="s">
        <v>117</v>
      </c>
      <c r="D235" s="23" t="n">
        <v>112</v>
      </c>
      <c r="E235" s="24" t="n">
        <v>0.620380293390908</v>
      </c>
      <c r="F235" s="24" t="n">
        <v>7.38780200493056</v>
      </c>
      <c r="G235" s="24" t="n">
        <v>0</v>
      </c>
      <c r="H235" s="24" t="n">
        <v>105.957878112793</v>
      </c>
      <c r="I235" s="25" t="n">
        <v>22.1995010375977</v>
      </c>
      <c r="J235" s="23" t="s">
        <v>738</v>
      </c>
    </row>
    <row r="236" customFormat="false" ht="15" hidden="false" customHeight="false" outlineLevel="0" collapsed="false">
      <c r="A236" s="23" t="s">
        <v>734</v>
      </c>
      <c r="B236" s="23" t="s">
        <v>744</v>
      </c>
      <c r="C236" s="23" t="s">
        <v>76</v>
      </c>
      <c r="D236" s="23" t="n">
        <v>3</v>
      </c>
      <c r="E236" s="24" t="n">
        <v>1246.91493508034</v>
      </c>
      <c r="F236" s="24" t="n">
        <v>1325.20741912723</v>
      </c>
      <c r="G236" s="24" t="n">
        <v>218.638124123216</v>
      </c>
      <c r="H236" s="24" t="n">
        <v>0</v>
      </c>
      <c r="I236" s="25" t="n">
        <v>-1.7913670539856</v>
      </c>
      <c r="J236" s="23" t="s">
        <v>739</v>
      </c>
    </row>
    <row r="237" customFormat="false" ht="15" hidden="false" customHeight="false" outlineLevel="0" collapsed="false">
      <c r="A237" s="23" t="s">
        <v>734</v>
      </c>
      <c r="B237" s="23" t="s">
        <v>744</v>
      </c>
      <c r="C237" s="23" t="s">
        <v>85</v>
      </c>
      <c r="D237" s="23" t="n">
        <v>2</v>
      </c>
      <c r="E237" s="24" t="n">
        <v>4.42956113804105</v>
      </c>
      <c r="F237" s="24" t="n">
        <v>1.19998931884766</v>
      </c>
      <c r="G237" s="24" t="n">
        <v>33.9605827331543</v>
      </c>
      <c r="H237" s="24" t="n">
        <v>0</v>
      </c>
      <c r="I237" s="25" t="n">
        <v>-1.49136698246002</v>
      </c>
      <c r="J237" s="23" t="s">
        <v>740</v>
      </c>
    </row>
    <row r="238" customFormat="false" ht="15" hidden="false" customHeight="false" outlineLevel="0" collapsed="false">
      <c r="A238" s="23" t="s">
        <v>734</v>
      </c>
      <c r="B238" s="23" t="s">
        <v>744</v>
      </c>
      <c r="C238" s="23" t="s">
        <v>81</v>
      </c>
      <c r="D238" s="23" t="n">
        <v>2</v>
      </c>
      <c r="E238" s="24" t="n">
        <v>151.066871266154</v>
      </c>
      <c r="F238" s="24" t="n">
        <v>713.504840965383</v>
      </c>
      <c r="G238" s="24" t="n">
        <v>856.610170380212</v>
      </c>
      <c r="H238" s="24" t="n">
        <v>0</v>
      </c>
      <c r="I238" s="25" t="n">
        <v>21.6000003814697</v>
      </c>
      <c r="J238" s="23" t="s">
        <v>741</v>
      </c>
    </row>
    <row r="239" customFormat="false" ht="15" hidden="false" customHeight="false" outlineLevel="0" collapsed="false">
      <c r="A239" s="23" t="s">
        <v>734</v>
      </c>
      <c r="B239" s="23" t="s">
        <v>744</v>
      </c>
      <c r="C239" s="23" t="s">
        <v>79</v>
      </c>
      <c r="D239" s="23" t="n">
        <v>3</v>
      </c>
      <c r="E239" s="24" t="n">
        <v>1205.71733873717</v>
      </c>
      <c r="F239" s="24" t="n">
        <v>60.9162642508745</v>
      </c>
      <c r="G239" s="24" t="n">
        <v>3469.03357696533</v>
      </c>
      <c r="H239" s="24" t="n">
        <v>0</v>
      </c>
      <c r="I239" s="25" t="n">
        <v>-1.49136698246002</v>
      </c>
      <c r="J239" s="23" t="s">
        <v>742</v>
      </c>
    </row>
    <row r="240" customFormat="false" ht="15" hidden="false" customHeight="false" outlineLevel="0" collapsed="false">
      <c r="A240" s="23" t="s">
        <v>734</v>
      </c>
      <c r="B240" s="23" t="s">
        <v>744</v>
      </c>
      <c r="C240" s="23" t="s">
        <v>166</v>
      </c>
      <c r="D240" s="23" t="n">
        <v>1</v>
      </c>
      <c r="E240" s="24" t="n">
        <v>1.60786796867568</v>
      </c>
      <c r="F240" s="24" t="n">
        <v>12.7697906494141</v>
      </c>
      <c r="G240" s="24" t="n">
        <v>0</v>
      </c>
      <c r="H240" s="24" t="n">
        <v>0</v>
      </c>
      <c r="I240" s="25" t="n">
        <v>22.199499130249</v>
      </c>
      <c r="J240" s="23" t="s">
        <v>743</v>
      </c>
    </row>
    <row r="241" customFormat="false" ht="15" hidden="false" customHeight="false" outlineLevel="0" collapsed="false">
      <c r="A241" s="23" t="s">
        <v>734</v>
      </c>
      <c r="B241" s="23" t="s">
        <v>745</v>
      </c>
      <c r="C241" s="23" t="s">
        <v>736</v>
      </c>
      <c r="D241" s="23" t="n">
        <v>1</v>
      </c>
      <c r="E241" s="24" t="n">
        <v>10.5842886847103</v>
      </c>
      <c r="F241" s="24" t="n">
        <v>529.202499389648</v>
      </c>
      <c r="G241" s="24" t="n">
        <v>0</v>
      </c>
      <c r="H241" s="24" t="n">
        <v>0</v>
      </c>
      <c r="I241" s="25" t="n">
        <v>20.6800003051758</v>
      </c>
      <c r="J241" s="23" t="s">
        <v>737</v>
      </c>
    </row>
    <row r="242" customFormat="false" ht="15" hidden="false" customHeight="false" outlineLevel="0" collapsed="false">
      <c r="A242" s="23" t="s">
        <v>734</v>
      </c>
      <c r="B242" s="23" t="s">
        <v>745</v>
      </c>
      <c r="C242" s="23" t="s">
        <v>117</v>
      </c>
      <c r="D242" s="23" t="n">
        <v>112</v>
      </c>
      <c r="E242" s="24" t="n">
        <v>0.620390607867887</v>
      </c>
      <c r="F242" s="24" t="n">
        <v>7.38750456727576</v>
      </c>
      <c r="G242" s="24" t="n">
        <v>0</v>
      </c>
      <c r="H242" s="24" t="n">
        <v>105.957880020142</v>
      </c>
      <c r="I242" s="25" t="n">
        <v>22.1995010375977</v>
      </c>
      <c r="J242" s="23" t="s">
        <v>738</v>
      </c>
    </row>
    <row r="243" customFormat="false" ht="15" hidden="false" customHeight="false" outlineLevel="0" collapsed="false">
      <c r="A243" s="23" t="s">
        <v>734</v>
      </c>
      <c r="B243" s="23" t="s">
        <v>745</v>
      </c>
      <c r="C243" s="23" t="s">
        <v>76</v>
      </c>
      <c r="D243" s="23" t="n">
        <v>3</v>
      </c>
      <c r="E243" s="24" t="n">
        <v>1246.91510733976</v>
      </c>
      <c r="F243" s="24" t="n">
        <v>1325.20459884405</v>
      </c>
      <c r="G243" s="24" t="n">
        <v>218.638144219294</v>
      </c>
      <c r="H243" s="24" t="n">
        <v>0</v>
      </c>
      <c r="I243" s="25" t="n">
        <v>-1.7913670539856</v>
      </c>
      <c r="J243" s="23" t="s">
        <v>739</v>
      </c>
    </row>
    <row r="244" customFormat="false" ht="15" hidden="false" customHeight="false" outlineLevel="0" collapsed="false">
      <c r="A244" s="23" t="s">
        <v>734</v>
      </c>
      <c r="B244" s="23" t="s">
        <v>745</v>
      </c>
      <c r="C244" s="23" t="s">
        <v>85</v>
      </c>
      <c r="D244" s="23" t="n">
        <v>2</v>
      </c>
      <c r="E244" s="24" t="n">
        <v>4.42970118888636</v>
      </c>
      <c r="F244" s="24" t="n">
        <v>1.20005798339844</v>
      </c>
      <c r="G244" s="24" t="n">
        <v>33.9605456590653</v>
      </c>
      <c r="H244" s="24" t="n">
        <v>0</v>
      </c>
      <c r="I244" s="25" t="n">
        <v>-1.49136698246002</v>
      </c>
      <c r="J244" s="23" t="s">
        <v>740</v>
      </c>
    </row>
    <row r="245" customFormat="false" ht="15" hidden="false" customHeight="false" outlineLevel="0" collapsed="false">
      <c r="A245" s="23" t="s">
        <v>734</v>
      </c>
      <c r="B245" s="23" t="s">
        <v>745</v>
      </c>
      <c r="C245" s="23" t="s">
        <v>81</v>
      </c>
      <c r="D245" s="23" t="n">
        <v>2</v>
      </c>
      <c r="E245" s="24" t="n">
        <v>151.066936759578</v>
      </c>
      <c r="F245" s="24" t="n">
        <v>713.503785351291</v>
      </c>
      <c r="G245" s="24" t="n">
        <v>856.611234943382</v>
      </c>
      <c r="H245" s="24" t="n">
        <v>0</v>
      </c>
      <c r="I245" s="25" t="n">
        <v>21.6000003814697</v>
      </c>
      <c r="J245" s="23" t="s">
        <v>741</v>
      </c>
    </row>
    <row r="246" customFormat="false" ht="15" hidden="false" customHeight="false" outlineLevel="0" collapsed="false">
      <c r="A246" s="23" t="s">
        <v>734</v>
      </c>
      <c r="B246" s="23" t="s">
        <v>745</v>
      </c>
      <c r="C246" s="23" t="s">
        <v>79</v>
      </c>
      <c r="D246" s="23" t="n">
        <v>3</v>
      </c>
      <c r="E246" s="24" t="n">
        <v>1205.71396892827</v>
      </c>
      <c r="F246" s="24" t="n">
        <v>60.9160162508488</v>
      </c>
      <c r="G246" s="24" t="n">
        <v>3469.03352069855</v>
      </c>
      <c r="H246" s="24" t="n">
        <v>0</v>
      </c>
      <c r="I246" s="25" t="n">
        <v>-1.49136698246002</v>
      </c>
      <c r="J246" s="23" t="s">
        <v>742</v>
      </c>
    </row>
    <row r="247" customFormat="false" ht="15" hidden="false" customHeight="false" outlineLevel="0" collapsed="false">
      <c r="A247" s="23" t="s">
        <v>734</v>
      </c>
      <c r="B247" s="23" t="s">
        <v>745</v>
      </c>
      <c r="C247" s="23" t="s">
        <v>166</v>
      </c>
      <c r="D247" s="23" t="n">
        <v>1</v>
      </c>
      <c r="E247" s="24" t="n">
        <v>1.60778233259793</v>
      </c>
      <c r="F247" s="24" t="n">
        <v>12.7697257995606</v>
      </c>
      <c r="G247" s="24" t="n">
        <v>0</v>
      </c>
      <c r="H247" s="24" t="n">
        <v>0</v>
      </c>
      <c r="I247" s="25" t="n">
        <v>22.199499130249</v>
      </c>
      <c r="J247" s="23" t="s">
        <v>743</v>
      </c>
    </row>
    <row r="248" customFormat="false" ht="15" hidden="false" customHeight="false" outlineLevel="0" collapsed="false">
      <c r="A248" s="23" t="s">
        <v>734</v>
      </c>
      <c r="B248" s="23" t="s">
        <v>746</v>
      </c>
      <c r="C248" s="23" t="s">
        <v>736</v>
      </c>
      <c r="D248" s="23" t="n">
        <v>1</v>
      </c>
      <c r="E248" s="24" t="n">
        <v>10.584288294493</v>
      </c>
      <c r="F248" s="24" t="n">
        <v>529.202095031738</v>
      </c>
      <c r="G248" s="24" t="n">
        <v>0</v>
      </c>
      <c r="H248" s="24" t="n">
        <v>0</v>
      </c>
      <c r="I248" s="25" t="n">
        <v>20.6800003051758</v>
      </c>
      <c r="J248" s="23" t="s">
        <v>737</v>
      </c>
    </row>
    <row r="249" customFormat="false" ht="15" hidden="false" customHeight="false" outlineLevel="0" collapsed="false">
      <c r="A249" s="23" t="s">
        <v>734</v>
      </c>
      <c r="B249" s="23" t="s">
        <v>746</v>
      </c>
      <c r="C249" s="23" t="s">
        <v>117</v>
      </c>
      <c r="D249" s="23" t="n">
        <v>112</v>
      </c>
      <c r="E249" s="24" t="n">
        <v>0.620398260332438</v>
      </c>
      <c r="F249" s="24" t="n">
        <v>7.38764913019259</v>
      </c>
      <c r="G249" s="24" t="n">
        <v>0</v>
      </c>
      <c r="H249" s="24" t="n">
        <v>105.95788192749</v>
      </c>
      <c r="I249" s="25" t="n">
        <v>22.1995010375977</v>
      </c>
      <c r="J249" s="23" t="s">
        <v>738</v>
      </c>
    </row>
    <row r="250" customFormat="false" ht="15" hidden="false" customHeight="false" outlineLevel="0" collapsed="false">
      <c r="A250" s="23" t="s">
        <v>734</v>
      </c>
      <c r="B250" s="23" t="s">
        <v>746</v>
      </c>
      <c r="C250" s="23" t="s">
        <v>76</v>
      </c>
      <c r="D250" s="23" t="n">
        <v>3</v>
      </c>
      <c r="E250" s="24" t="n">
        <v>1246.91489641743</v>
      </c>
      <c r="F250" s="24" t="n">
        <v>1325.20918473601</v>
      </c>
      <c r="G250" s="24" t="n">
        <v>218.638130102307</v>
      </c>
      <c r="H250" s="24" t="n">
        <v>0</v>
      </c>
      <c r="I250" s="25" t="n">
        <v>-1.7913670539856</v>
      </c>
      <c r="J250" s="23" t="s">
        <v>739</v>
      </c>
    </row>
    <row r="251" customFormat="false" ht="15" hidden="false" customHeight="false" outlineLevel="0" collapsed="false">
      <c r="A251" s="23" t="s">
        <v>734</v>
      </c>
      <c r="B251" s="23" t="s">
        <v>746</v>
      </c>
      <c r="C251" s="23" t="s">
        <v>85</v>
      </c>
      <c r="D251" s="23" t="n">
        <v>2</v>
      </c>
      <c r="E251" s="24" t="n">
        <v>4.42961036122418</v>
      </c>
      <c r="F251" s="24" t="n">
        <v>1.20001983642578</v>
      </c>
      <c r="G251" s="24" t="n">
        <v>33.9604692459106</v>
      </c>
      <c r="H251" s="24" t="n">
        <v>0</v>
      </c>
      <c r="I251" s="25" t="n">
        <v>-1.49136698246002</v>
      </c>
      <c r="J251" s="23" t="s">
        <v>740</v>
      </c>
    </row>
    <row r="252" customFormat="false" ht="15" hidden="false" customHeight="false" outlineLevel="0" collapsed="false">
      <c r="A252" s="23" t="s">
        <v>734</v>
      </c>
      <c r="B252" s="23" t="s">
        <v>746</v>
      </c>
      <c r="C252" s="23" t="s">
        <v>81</v>
      </c>
      <c r="D252" s="23" t="n">
        <v>2</v>
      </c>
      <c r="E252" s="24" t="n">
        <v>151.06698106123</v>
      </c>
      <c r="F252" s="24" t="n">
        <v>713.504216211382</v>
      </c>
      <c r="G252" s="24" t="n">
        <v>856.611283429433</v>
      </c>
      <c r="H252" s="24" t="n">
        <v>0</v>
      </c>
      <c r="I252" s="25" t="n">
        <v>21.6000003814697</v>
      </c>
      <c r="J252" s="23" t="s">
        <v>741</v>
      </c>
    </row>
    <row r="253" customFormat="false" ht="15" hidden="false" customHeight="false" outlineLevel="0" collapsed="false">
      <c r="A253" s="23" t="s">
        <v>734</v>
      </c>
      <c r="B253" s="23" t="s">
        <v>746</v>
      </c>
      <c r="C253" s="23" t="s">
        <v>79</v>
      </c>
      <c r="D253" s="23" t="n">
        <v>3</v>
      </c>
      <c r="E253" s="24" t="n">
        <v>1205.71823203695</v>
      </c>
      <c r="F253" s="24" t="n">
        <v>60.9161278605461</v>
      </c>
      <c r="G253" s="24" t="n">
        <v>3469.03332284093</v>
      </c>
      <c r="H253" s="24" t="n">
        <v>0</v>
      </c>
      <c r="I253" s="25" t="n">
        <v>-1.49136698246002</v>
      </c>
      <c r="J253" s="23" t="s">
        <v>742</v>
      </c>
    </row>
    <row r="254" customFormat="false" ht="15" hidden="false" customHeight="false" outlineLevel="0" collapsed="false">
      <c r="A254" s="23" t="s">
        <v>734</v>
      </c>
      <c r="B254" s="23" t="s">
        <v>746</v>
      </c>
      <c r="C254" s="23" t="s">
        <v>166</v>
      </c>
      <c r="D254" s="23" t="n">
        <v>1</v>
      </c>
      <c r="E254" s="24" t="n">
        <v>1.60786991243011</v>
      </c>
      <c r="F254" s="24" t="n">
        <v>12.7697639465332</v>
      </c>
      <c r="G254" s="24" t="n">
        <v>0</v>
      </c>
      <c r="H254" s="24" t="n">
        <v>0</v>
      </c>
      <c r="I254" s="25" t="n">
        <v>22.199499130249</v>
      </c>
      <c r="J254" s="23" t="s">
        <v>743</v>
      </c>
    </row>
    <row r="255" customFormat="false" ht="15" hidden="false" customHeight="false" outlineLevel="0" collapsed="false">
      <c r="A255" s="23" t="s">
        <v>734</v>
      </c>
      <c r="B255" s="23" t="s">
        <v>747</v>
      </c>
      <c r="C255" s="23" t="s">
        <v>736</v>
      </c>
      <c r="D255" s="23" t="n">
        <v>1</v>
      </c>
      <c r="E255" s="24" t="n">
        <v>10.584288748175</v>
      </c>
      <c r="F255" s="24" t="n">
        <v>529.200817108154</v>
      </c>
      <c r="G255" s="24" t="n">
        <v>0</v>
      </c>
      <c r="H255" s="24" t="n">
        <v>0</v>
      </c>
      <c r="I255" s="25" t="n">
        <v>20.6800003051758</v>
      </c>
      <c r="J255" s="23" t="s">
        <v>737</v>
      </c>
    </row>
    <row r="256" customFormat="false" ht="15" hidden="false" customHeight="false" outlineLevel="0" collapsed="false">
      <c r="A256" s="23" t="s">
        <v>734</v>
      </c>
      <c r="B256" s="23" t="s">
        <v>747</v>
      </c>
      <c r="C256" s="23" t="s">
        <v>117</v>
      </c>
      <c r="D256" s="23" t="n">
        <v>112</v>
      </c>
      <c r="E256" s="24" t="n">
        <v>0.620381528104045</v>
      </c>
      <c r="F256" s="24" t="n">
        <v>7.387833859073</v>
      </c>
      <c r="G256" s="24" t="n">
        <v>0</v>
      </c>
      <c r="H256" s="24" t="n">
        <v>105.957878112793</v>
      </c>
      <c r="I256" s="25" t="n">
        <v>22.1995010375977</v>
      </c>
      <c r="J256" s="23" t="s">
        <v>738</v>
      </c>
    </row>
    <row r="257" customFormat="false" ht="15" hidden="false" customHeight="false" outlineLevel="0" collapsed="false">
      <c r="A257" s="23" t="s">
        <v>734</v>
      </c>
      <c r="B257" s="23" t="s">
        <v>747</v>
      </c>
      <c r="C257" s="23" t="s">
        <v>76</v>
      </c>
      <c r="D257" s="23" t="n">
        <v>3</v>
      </c>
      <c r="E257" s="24" t="n">
        <v>1246.91482582158</v>
      </c>
      <c r="F257" s="24" t="n">
        <v>1325.20781695843</v>
      </c>
      <c r="G257" s="24" t="n">
        <v>218.638123754412</v>
      </c>
      <c r="H257" s="24" t="n">
        <v>0</v>
      </c>
      <c r="I257" s="25" t="n">
        <v>-1.7913670539856</v>
      </c>
      <c r="J257" s="23" t="s">
        <v>739</v>
      </c>
    </row>
    <row r="258" customFormat="false" ht="15" hidden="false" customHeight="false" outlineLevel="0" collapsed="false">
      <c r="A258" s="23" t="s">
        <v>734</v>
      </c>
      <c r="B258" s="23" t="s">
        <v>747</v>
      </c>
      <c r="C258" s="23" t="s">
        <v>85</v>
      </c>
      <c r="D258" s="23" t="n">
        <v>2</v>
      </c>
      <c r="E258" s="24" t="n">
        <v>4.42956113805074</v>
      </c>
      <c r="F258" s="24" t="n">
        <v>1.199951171875</v>
      </c>
      <c r="G258" s="24" t="n">
        <v>33.9604349136353</v>
      </c>
      <c r="H258" s="24" t="n">
        <v>0</v>
      </c>
      <c r="I258" s="25" t="n">
        <v>-1.49136698246002</v>
      </c>
      <c r="J258" s="23" t="s">
        <v>740</v>
      </c>
    </row>
    <row r="259" customFormat="false" ht="15" hidden="false" customHeight="false" outlineLevel="0" collapsed="false">
      <c r="A259" s="23" t="s">
        <v>734</v>
      </c>
      <c r="B259" s="23" t="s">
        <v>747</v>
      </c>
      <c r="C259" s="23" t="s">
        <v>81</v>
      </c>
      <c r="D259" s="23" t="n">
        <v>2</v>
      </c>
      <c r="E259" s="24" t="n">
        <v>151.066969482136</v>
      </c>
      <c r="F259" s="24" t="n">
        <v>713.502858474501</v>
      </c>
      <c r="G259" s="24" t="n">
        <v>856.609956848901</v>
      </c>
      <c r="H259" s="24" t="n">
        <v>0</v>
      </c>
      <c r="I259" s="25" t="n">
        <v>21.6000003814697</v>
      </c>
      <c r="J259" s="23" t="s">
        <v>741</v>
      </c>
    </row>
    <row r="260" customFormat="false" ht="15" hidden="false" customHeight="false" outlineLevel="0" collapsed="false">
      <c r="A260" s="23" t="s">
        <v>734</v>
      </c>
      <c r="B260" s="23" t="s">
        <v>747</v>
      </c>
      <c r="C260" s="23" t="s">
        <v>79</v>
      </c>
      <c r="D260" s="23" t="n">
        <v>3</v>
      </c>
      <c r="E260" s="24" t="n">
        <v>1205.71819680239</v>
      </c>
      <c r="F260" s="24" t="n">
        <v>60.9161234349012</v>
      </c>
      <c r="G260" s="24" t="n">
        <v>3469.03343304992</v>
      </c>
      <c r="H260" s="24" t="n">
        <v>0</v>
      </c>
      <c r="I260" s="25" t="n">
        <v>-1.49136698246002</v>
      </c>
      <c r="J260" s="23" t="s">
        <v>742</v>
      </c>
    </row>
    <row r="261" customFormat="false" ht="15" hidden="false" customHeight="false" outlineLevel="0" collapsed="false">
      <c r="A261" s="23" t="s">
        <v>734</v>
      </c>
      <c r="B261" s="23" t="s">
        <v>747</v>
      </c>
      <c r="C261" s="23" t="s">
        <v>166</v>
      </c>
      <c r="D261" s="23" t="n">
        <v>1</v>
      </c>
      <c r="E261" s="24" t="n">
        <v>1.60785111658761</v>
      </c>
      <c r="F261" s="24" t="n">
        <v>12.7697563171387</v>
      </c>
      <c r="G261" s="24" t="n">
        <v>0</v>
      </c>
      <c r="H261" s="24" t="n">
        <v>0</v>
      </c>
      <c r="I261" s="25" t="n">
        <v>22.199499130249</v>
      </c>
      <c r="J261" s="23" t="s">
        <v>743</v>
      </c>
    </row>
    <row r="262" customFormat="false" ht="15" hidden="false" customHeight="false" outlineLevel="0" collapsed="false">
      <c r="A262" s="23" t="s">
        <v>734</v>
      </c>
      <c r="B262" s="23" t="s">
        <v>748</v>
      </c>
      <c r="C262" s="23" t="s">
        <v>736</v>
      </c>
      <c r="D262" s="23" t="n">
        <v>1</v>
      </c>
      <c r="E262" s="24" t="n">
        <v>10.58428823497</v>
      </c>
      <c r="F262" s="24" t="n">
        <v>529.202495574951</v>
      </c>
      <c r="G262" s="24" t="n">
        <v>0</v>
      </c>
      <c r="H262" s="24" t="n">
        <v>0</v>
      </c>
      <c r="I262" s="25" t="n">
        <v>20.6800003051758</v>
      </c>
      <c r="J262" s="23" t="s">
        <v>737</v>
      </c>
    </row>
    <row r="263" customFormat="false" ht="15" hidden="false" customHeight="false" outlineLevel="0" collapsed="false">
      <c r="A263" s="23" t="s">
        <v>734</v>
      </c>
      <c r="B263" s="23" t="s">
        <v>748</v>
      </c>
      <c r="C263" s="23" t="s">
        <v>117</v>
      </c>
      <c r="D263" s="23" t="n">
        <v>112</v>
      </c>
      <c r="E263" s="24" t="n">
        <v>0.62037942607929</v>
      </c>
      <c r="F263" s="24" t="n">
        <v>7.38747930002865</v>
      </c>
      <c r="G263" s="24" t="n">
        <v>0</v>
      </c>
      <c r="H263" s="24" t="n">
        <v>105.957878112793</v>
      </c>
      <c r="I263" s="25" t="n">
        <v>22.1995010375977</v>
      </c>
      <c r="J263" s="23" t="s">
        <v>738</v>
      </c>
    </row>
    <row r="264" customFormat="false" ht="15" hidden="false" customHeight="false" outlineLevel="0" collapsed="false">
      <c r="A264" s="23" t="s">
        <v>734</v>
      </c>
      <c r="B264" s="23" t="s">
        <v>748</v>
      </c>
      <c r="C264" s="23" t="s">
        <v>76</v>
      </c>
      <c r="D264" s="23" t="n">
        <v>3</v>
      </c>
      <c r="E264" s="24" t="n">
        <v>1246.91486257694</v>
      </c>
      <c r="F264" s="24" t="n">
        <v>1325.20813366771</v>
      </c>
      <c r="G264" s="24" t="n">
        <v>218.638115013018</v>
      </c>
      <c r="H264" s="24" t="n">
        <v>0</v>
      </c>
      <c r="I264" s="25" t="n">
        <v>-1.7913670539856</v>
      </c>
      <c r="J264" s="23" t="s">
        <v>739</v>
      </c>
    </row>
    <row r="265" customFormat="false" ht="15" hidden="false" customHeight="false" outlineLevel="0" collapsed="false">
      <c r="A265" s="23" t="s">
        <v>734</v>
      </c>
      <c r="B265" s="23" t="s">
        <v>748</v>
      </c>
      <c r="C265" s="23" t="s">
        <v>85</v>
      </c>
      <c r="D265" s="23" t="n">
        <v>2</v>
      </c>
      <c r="E265" s="24" t="n">
        <v>4.42956113804589</v>
      </c>
      <c r="F265" s="24" t="n">
        <v>1.19998931884766</v>
      </c>
      <c r="G265" s="24" t="n">
        <v>33.9605824947357</v>
      </c>
      <c r="H265" s="24" t="n">
        <v>0</v>
      </c>
      <c r="I265" s="25" t="n">
        <v>-1.49136698246002</v>
      </c>
      <c r="J265" s="23" t="s">
        <v>740</v>
      </c>
    </row>
    <row r="266" customFormat="false" ht="15" hidden="false" customHeight="false" outlineLevel="0" collapsed="false">
      <c r="A266" s="23" t="s">
        <v>734</v>
      </c>
      <c r="B266" s="23" t="s">
        <v>748</v>
      </c>
      <c r="C266" s="23" t="s">
        <v>81</v>
      </c>
      <c r="D266" s="23" t="n">
        <v>2</v>
      </c>
      <c r="E266" s="24" t="n">
        <v>151.067013865433</v>
      </c>
      <c r="F266" s="24" t="n">
        <v>713.504626978538</v>
      </c>
      <c r="G266" s="24" t="n">
        <v>856.60937787639</v>
      </c>
      <c r="H266" s="24" t="n">
        <v>0</v>
      </c>
      <c r="I266" s="25" t="n">
        <v>21.6000003814697</v>
      </c>
      <c r="J266" s="23" t="s">
        <v>741</v>
      </c>
    </row>
    <row r="267" customFormat="false" ht="15" hidden="false" customHeight="false" outlineLevel="0" collapsed="false">
      <c r="A267" s="23" t="s">
        <v>734</v>
      </c>
      <c r="B267" s="23" t="s">
        <v>748</v>
      </c>
      <c r="C267" s="23" t="s">
        <v>79</v>
      </c>
      <c r="D267" s="23" t="n">
        <v>3</v>
      </c>
      <c r="E267" s="24" t="n">
        <v>1205.717238223</v>
      </c>
      <c r="F267" s="24" t="n">
        <v>60.9162937998772</v>
      </c>
      <c r="G267" s="24" t="n">
        <v>3469.03324881196</v>
      </c>
      <c r="H267" s="24" t="n">
        <v>0</v>
      </c>
      <c r="I267" s="25" t="n">
        <v>-1.49136698246002</v>
      </c>
      <c r="J267" s="23" t="s">
        <v>742</v>
      </c>
    </row>
    <row r="268" customFormat="false" ht="15" hidden="false" customHeight="false" outlineLevel="0" collapsed="false">
      <c r="A268" s="23" t="s">
        <v>734</v>
      </c>
      <c r="B268" s="23" t="s">
        <v>748</v>
      </c>
      <c r="C268" s="23" t="s">
        <v>166</v>
      </c>
      <c r="D268" s="23" t="n">
        <v>1</v>
      </c>
      <c r="E268" s="24" t="n">
        <v>1.60787009924562</v>
      </c>
      <c r="F268" s="24" t="n">
        <v>12.7698402404785</v>
      </c>
      <c r="G268" s="24" t="n">
        <v>0</v>
      </c>
      <c r="H268" s="24" t="n">
        <v>0</v>
      </c>
      <c r="I268" s="25" t="n">
        <v>22.199499130249</v>
      </c>
      <c r="J268" s="23" t="s">
        <v>743</v>
      </c>
    </row>
    <row r="269" customFormat="false" ht="15" hidden="false" customHeight="false" outlineLevel="0" collapsed="false">
      <c r="A269" s="23" t="s">
        <v>734</v>
      </c>
      <c r="B269" s="23" t="s">
        <v>749</v>
      </c>
      <c r="C269" s="23" t="s">
        <v>736</v>
      </c>
      <c r="D269" s="23" t="n">
        <v>1</v>
      </c>
      <c r="E269" s="24" t="n">
        <v>10.5842879944265</v>
      </c>
      <c r="F269" s="24" t="n">
        <v>529.203006744385</v>
      </c>
      <c r="G269" s="24" t="n">
        <v>0</v>
      </c>
      <c r="H269" s="24" t="n">
        <v>0</v>
      </c>
      <c r="I269" s="25" t="n">
        <v>20.6800003051758</v>
      </c>
      <c r="J269" s="23" t="s">
        <v>737</v>
      </c>
    </row>
    <row r="270" customFormat="false" ht="15" hidden="false" customHeight="false" outlineLevel="0" collapsed="false">
      <c r="A270" s="23" t="s">
        <v>734</v>
      </c>
      <c r="B270" s="23" t="s">
        <v>749</v>
      </c>
      <c r="C270" s="23" t="s">
        <v>117</v>
      </c>
      <c r="D270" s="23" t="n">
        <v>112</v>
      </c>
      <c r="E270" s="24" t="n">
        <v>0.620396479721942</v>
      </c>
      <c r="F270" s="24" t="n">
        <v>7.38769052037969</v>
      </c>
      <c r="G270" s="24" t="n">
        <v>0</v>
      </c>
      <c r="H270" s="24" t="n">
        <v>105.95788192749</v>
      </c>
      <c r="I270" s="25" t="n">
        <v>22.1995010375977</v>
      </c>
      <c r="J270" s="23" t="s">
        <v>738</v>
      </c>
    </row>
    <row r="271" customFormat="false" ht="15" hidden="false" customHeight="false" outlineLevel="0" collapsed="false">
      <c r="A271" s="23" t="s">
        <v>734</v>
      </c>
      <c r="B271" s="23" t="s">
        <v>749</v>
      </c>
      <c r="C271" s="23" t="s">
        <v>76</v>
      </c>
      <c r="D271" s="23" t="n">
        <v>3</v>
      </c>
      <c r="E271" s="24" t="n">
        <v>1246.91489368086</v>
      </c>
      <c r="F271" s="24" t="n">
        <v>1325.20815378428</v>
      </c>
      <c r="G271" s="24" t="n">
        <v>218.638125989586</v>
      </c>
      <c r="H271" s="24" t="n">
        <v>0</v>
      </c>
      <c r="I271" s="25" t="n">
        <v>-1.7913670539856</v>
      </c>
      <c r="J271" s="23" t="s">
        <v>739</v>
      </c>
    </row>
    <row r="272" customFormat="false" ht="15" hidden="false" customHeight="false" outlineLevel="0" collapsed="false">
      <c r="A272" s="23" t="s">
        <v>734</v>
      </c>
      <c r="B272" s="23" t="s">
        <v>749</v>
      </c>
      <c r="C272" s="23" t="s">
        <v>85</v>
      </c>
      <c r="D272" s="23" t="n">
        <v>2</v>
      </c>
      <c r="E272" s="24" t="n">
        <v>4.42966582541081</v>
      </c>
      <c r="F272" s="24" t="n">
        <v>1.20001983642578</v>
      </c>
      <c r="G272" s="24" t="n">
        <v>33.9607753753662</v>
      </c>
      <c r="H272" s="24" t="n">
        <v>0</v>
      </c>
      <c r="I272" s="25" t="n">
        <v>-1.49136698246002</v>
      </c>
      <c r="J272" s="23" t="s">
        <v>740</v>
      </c>
    </row>
    <row r="273" customFormat="false" ht="15" hidden="false" customHeight="false" outlineLevel="0" collapsed="false">
      <c r="A273" s="23" t="s">
        <v>734</v>
      </c>
      <c r="B273" s="23" t="s">
        <v>749</v>
      </c>
      <c r="C273" s="23" t="s">
        <v>81</v>
      </c>
      <c r="D273" s="23" t="n">
        <v>2</v>
      </c>
      <c r="E273" s="24" t="n">
        <v>151.066984164297</v>
      </c>
      <c r="F273" s="24" t="n">
        <v>713.504503530217</v>
      </c>
      <c r="G273" s="24" t="n">
        <v>856.609969744459</v>
      </c>
      <c r="H273" s="24" t="n">
        <v>0</v>
      </c>
      <c r="I273" s="25" t="n">
        <v>21.6000003814697</v>
      </c>
      <c r="J273" s="23" t="s">
        <v>741</v>
      </c>
    </row>
    <row r="274" customFormat="false" ht="15" hidden="false" customHeight="false" outlineLevel="0" collapsed="false">
      <c r="A274" s="23" t="s">
        <v>734</v>
      </c>
      <c r="B274" s="23" t="s">
        <v>749</v>
      </c>
      <c r="C274" s="23" t="s">
        <v>79</v>
      </c>
      <c r="D274" s="23" t="n">
        <v>3</v>
      </c>
      <c r="E274" s="24" t="n">
        <v>1205.71951272285</v>
      </c>
      <c r="F274" s="24" t="n">
        <v>60.9163650274277</v>
      </c>
      <c r="G274" s="24" t="n">
        <v>3469.03331038356</v>
      </c>
      <c r="H274" s="24" t="n">
        <v>0</v>
      </c>
      <c r="I274" s="25" t="n">
        <v>-1.49136698246002</v>
      </c>
      <c r="J274" s="23" t="s">
        <v>742</v>
      </c>
    </row>
    <row r="275" customFormat="false" ht="15" hidden="false" customHeight="false" outlineLevel="0" collapsed="false">
      <c r="A275" s="23" t="s">
        <v>734</v>
      </c>
      <c r="B275" s="23" t="s">
        <v>749</v>
      </c>
      <c r="C275" s="23" t="s">
        <v>166</v>
      </c>
      <c r="D275" s="23" t="n">
        <v>1</v>
      </c>
      <c r="E275" s="24" t="n">
        <v>1.60786991252959</v>
      </c>
      <c r="F275" s="24" t="n">
        <v>12.7698402404785</v>
      </c>
      <c r="G275" s="24" t="n">
        <v>0</v>
      </c>
      <c r="H275" s="24" t="n">
        <v>0</v>
      </c>
      <c r="I275" s="25" t="n">
        <v>22.199499130249</v>
      </c>
      <c r="J275" s="23" t="s">
        <v>743</v>
      </c>
    </row>
    <row r="276" customFormat="false" ht="15" hidden="false" customHeight="false" outlineLevel="0" collapsed="false">
      <c r="A276" s="23" t="s">
        <v>734</v>
      </c>
      <c r="B276" s="23" t="s">
        <v>750</v>
      </c>
      <c r="C276" s="23" t="s">
        <v>736</v>
      </c>
      <c r="D276" s="23" t="n">
        <v>1</v>
      </c>
      <c r="E276" s="24" t="n">
        <v>10.5842884915596</v>
      </c>
      <c r="F276" s="24" t="n">
        <v>529.203060150147</v>
      </c>
      <c r="G276" s="24" t="n">
        <v>0</v>
      </c>
      <c r="H276" s="24" t="n">
        <v>0</v>
      </c>
      <c r="I276" s="25" t="n">
        <v>20.6800003051758</v>
      </c>
      <c r="J276" s="23" t="s">
        <v>737</v>
      </c>
    </row>
    <row r="277" customFormat="false" ht="15" hidden="false" customHeight="false" outlineLevel="0" collapsed="false">
      <c r="A277" s="23" t="s">
        <v>734</v>
      </c>
      <c r="B277" s="23" t="s">
        <v>750</v>
      </c>
      <c r="C277" s="23" t="s">
        <v>117</v>
      </c>
      <c r="D277" s="23" t="n">
        <v>112</v>
      </c>
      <c r="E277" s="24" t="n">
        <v>0.620380477062161</v>
      </c>
      <c r="F277" s="24" t="n">
        <v>7.38777114485856</v>
      </c>
      <c r="G277" s="24" t="n">
        <v>0</v>
      </c>
      <c r="H277" s="24" t="n">
        <v>105.957878112793</v>
      </c>
      <c r="I277" s="25" t="n">
        <v>22.1995010375977</v>
      </c>
      <c r="J277" s="23" t="s">
        <v>738</v>
      </c>
    </row>
    <row r="278" customFormat="false" ht="15" hidden="false" customHeight="false" outlineLevel="0" collapsed="false">
      <c r="A278" s="23" t="s">
        <v>734</v>
      </c>
      <c r="B278" s="23" t="s">
        <v>750</v>
      </c>
      <c r="C278" s="23" t="s">
        <v>76</v>
      </c>
      <c r="D278" s="23" t="n">
        <v>3</v>
      </c>
      <c r="E278" s="24" t="n">
        <v>1246.91484810548</v>
      </c>
      <c r="F278" s="24" t="n">
        <v>1325.20933073759</v>
      </c>
      <c r="G278" s="24" t="n">
        <v>218.638118963689</v>
      </c>
      <c r="H278" s="24" t="n">
        <v>0</v>
      </c>
      <c r="I278" s="25" t="n">
        <v>-1.7913670539856</v>
      </c>
      <c r="J278" s="23" t="s">
        <v>739</v>
      </c>
    </row>
    <row r="279" customFormat="false" ht="15" hidden="false" customHeight="false" outlineLevel="0" collapsed="false">
      <c r="A279" s="23" t="s">
        <v>734</v>
      </c>
      <c r="B279" s="23" t="s">
        <v>750</v>
      </c>
      <c r="C279" s="23" t="s">
        <v>85</v>
      </c>
      <c r="D279" s="23" t="n">
        <v>2</v>
      </c>
      <c r="E279" s="24" t="n">
        <v>4.4295611380387</v>
      </c>
      <c r="F279" s="24" t="n">
        <v>1.19999694824219</v>
      </c>
      <c r="G279" s="24" t="n">
        <v>33.9604349136353</v>
      </c>
      <c r="H279" s="24" t="n">
        <v>0</v>
      </c>
      <c r="I279" s="25" t="n">
        <v>-1.49136698246002</v>
      </c>
      <c r="J279" s="23" t="s">
        <v>740</v>
      </c>
    </row>
    <row r="280" customFormat="false" ht="15" hidden="false" customHeight="false" outlineLevel="0" collapsed="false">
      <c r="A280" s="23" t="s">
        <v>734</v>
      </c>
      <c r="B280" s="23" t="s">
        <v>750</v>
      </c>
      <c r="C280" s="23" t="s">
        <v>81</v>
      </c>
      <c r="D280" s="23" t="n">
        <v>2</v>
      </c>
      <c r="E280" s="24" t="n">
        <v>151.06699167433</v>
      </c>
      <c r="F280" s="24" t="n">
        <v>713.504912144155</v>
      </c>
      <c r="G280" s="24" t="n">
        <v>856.609970281366</v>
      </c>
      <c r="H280" s="24" t="n">
        <v>0</v>
      </c>
      <c r="I280" s="25" t="n">
        <v>21.6000003814697</v>
      </c>
      <c r="J280" s="23" t="s">
        <v>741</v>
      </c>
    </row>
    <row r="281" customFormat="false" ht="15" hidden="false" customHeight="false" outlineLevel="0" collapsed="false">
      <c r="A281" s="23" t="s">
        <v>734</v>
      </c>
      <c r="B281" s="23" t="s">
        <v>750</v>
      </c>
      <c r="C281" s="23" t="s">
        <v>79</v>
      </c>
      <c r="D281" s="23" t="n">
        <v>3</v>
      </c>
      <c r="E281" s="24" t="n">
        <v>1205.71773548462</v>
      </c>
      <c r="F281" s="24" t="n">
        <v>60.9162205755711</v>
      </c>
      <c r="G281" s="24" t="n">
        <v>3469.03329476714</v>
      </c>
      <c r="H281" s="24" t="n">
        <v>0</v>
      </c>
      <c r="I281" s="25" t="n">
        <v>-1.49136698246002</v>
      </c>
      <c r="J281" s="23" t="s">
        <v>742</v>
      </c>
    </row>
    <row r="282" customFormat="false" ht="15" hidden="false" customHeight="false" outlineLevel="0" collapsed="false">
      <c r="A282" s="23" t="s">
        <v>734</v>
      </c>
      <c r="B282" s="23" t="s">
        <v>750</v>
      </c>
      <c r="C282" s="23" t="s">
        <v>166</v>
      </c>
      <c r="D282" s="23" t="n">
        <v>1</v>
      </c>
      <c r="E282" s="24" t="n">
        <v>1.60786893938966</v>
      </c>
      <c r="F282" s="24" t="n">
        <v>12.769832611084</v>
      </c>
      <c r="G282" s="24" t="n">
        <v>0</v>
      </c>
      <c r="H282" s="24" t="n">
        <v>0</v>
      </c>
      <c r="I282" s="25" t="n">
        <v>22.199499130249</v>
      </c>
      <c r="J282" s="23" t="s">
        <v>743</v>
      </c>
    </row>
    <row r="283" customFormat="false" ht="15" hidden="false" customHeight="false" outlineLevel="0" collapsed="false">
      <c r="A283" s="23" t="s">
        <v>751</v>
      </c>
      <c r="B283" s="23" t="s">
        <v>752</v>
      </c>
      <c r="C283" s="23" t="s">
        <v>87</v>
      </c>
      <c r="D283" s="23" t="n">
        <v>1</v>
      </c>
      <c r="E283" s="24" t="n">
        <v>226.188998474738</v>
      </c>
      <c r="F283" s="24" t="n">
        <v>452.377733170986</v>
      </c>
      <c r="G283" s="24" t="n">
        <v>37.698875144124</v>
      </c>
      <c r="H283" s="24" t="n">
        <v>0</v>
      </c>
      <c r="I283" s="25" t="n">
        <v>-1.5</v>
      </c>
      <c r="J283" s="23" t="s">
        <v>753</v>
      </c>
    </row>
    <row r="284" customFormat="false" ht="15" hidden="false" customHeight="false" outlineLevel="0" collapsed="false">
      <c r="A284" s="23" t="s">
        <v>751</v>
      </c>
      <c r="B284" s="23" t="s">
        <v>754</v>
      </c>
      <c r="C284" s="23" t="s">
        <v>87</v>
      </c>
      <c r="D284" s="23" t="n">
        <v>1</v>
      </c>
      <c r="E284" s="24" t="n">
        <v>226.188997393473</v>
      </c>
      <c r="F284" s="24" t="n">
        <v>452.378384828568</v>
      </c>
      <c r="G284" s="24" t="n">
        <v>37.6988750845194</v>
      </c>
      <c r="H284" s="24" t="n">
        <v>0</v>
      </c>
      <c r="I284" s="25" t="n">
        <v>-1.5</v>
      </c>
      <c r="J284" s="23" t="s">
        <v>753</v>
      </c>
    </row>
    <row r="285" customFormat="false" ht="15" hidden="false" customHeight="false" outlineLevel="0" collapsed="false">
      <c r="A285" s="23" t="s">
        <v>751</v>
      </c>
      <c r="B285" s="23" t="s">
        <v>755</v>
      </c>
      <c r="C285" s="23" t="s">
        <v>87</v>
      </c>
      <c r="D285" s="23" t="n">
        <v>1</v>
      </c>
      <c r="E285" s="24" t="n">
        <v>226.188998474739</v>
      </c>
      <c r="F285" s="24" t="n">
        <v>452.37786000967</v>
      </c>
      <c r="G285" s="24" t="n">
        <v>37.698875144124</v>
      </c>
      <c r="H285" s="24" t="n">
        <v>0</v>
      </c>
      <c r="I285" s="25" t="n">
        <v>-1.5</v>
      </c>
      <c r="J285" s="23" t="s">
        <v>753</v>
      </c>
    </row>
    <row r="286" customFormat="false" ht="15" hidden="false" customHeight="false" outlineLevel="0" collapsed="false">
      <c r="A286" s="23" t="s">
        <v>751</v>
      </c>
      <c r="B286" s="23" t="s">
        <v>756</v>
      </c>
      <c r="C286" s="23" t="s">
        <v>87</v>
      </c>
      <c r="D286" s="23" t="n">
        <v>1</v>
      </c>
      <c r="E286" s="24" t="n">
        <v>226.18899113842</v>
      </c>
      <c r="F286" s="24" t="n">
        <v>452.377985656261</v>
      </c>
      <c r="G286" s="24" t="n">
        <v>37.6988745927811</v>
      </c>
      <c r="H286" s="24" t="n">
        <v>0</v>
      </c>
      <c r="I286" s="25" t="n">
        <v>-1.5</v>
      </c>
      <c r="J286" s="23" t="s">
        <v>753</v>
      </c>
    </row>
    <row r="287" customFormat="false" ht="15" hidden="false" customHeight="false" outlineLevel="0" collapsed="false">
      <c r="A287" s="23" t="s">
        <v>757</v>
      </c>
      <c r="B287" s="23" t="s">
        <v>758</v>
      </c>
      <c r="C287" s="23" t="s">
        <v>76</v>
      </c>
      <c r="D287" s="23" t="n">
        <v>1</v>
      </c>
      <c r="E287" s="24" t="n">
        <v>17.7840105557225</v>
      </c>
      <c r="F287" s="24" t="n">
        <v>59.280029296875</v>
      </c>
      <c r="G287" s="24" t="n">
        <v>9.66000187397003</v>
      </c>
      <c r="H287" s="24" t="n">
        <v>0</v>
      </c>
      <c r="I287" s="25" t="n">
        <v>-1.5</v>
      </c>
      <c r="J287" s="23" t="s">
        <v>759</v>
      </c>
    </row>
    <row r="288" customFormat="false" ht="15" hidden="false" customHeight="false" outlineLevel="0" collapsed="false">
      <c r="A288" s="23" t="s">
        <v>757</v>
      </c>
      <c r="B288" s="23" t="s">
        <v>758</v>
      </c>
      <c r="C288" s="23" t="s">
        <v>87</v>
      </c>
      <c r="D288" s="23" t="n">
        <v>10</v>
      </c>
      <c r="E288" s="24" t="n">
        <v>1.43999577526863</v>
      </c>
      <c r="F288" s="24" t="n">
        <v>4.79998779296875</v>
      </c>
      <c r="G288" s="24" t="n">
        <v>8.39998622983694</v>
      </c>
      <c r="H288" s="24" t="n">
        <v>0</v>
      </c>
      <c r="I288" s="25" t="n">
        <v>-1.20000004768372</v>
      </c>
      <c r="J288" s="23" t="s">
        <v>760</v>
      </c>
    </row>
    <row r="289" customFormat="false" ht="15" hidden="false" customHeight="false" outlineLevel="0" collapsed="false">
      <c r="A289" s="23" t="s">
        <v>757</v>
      </c>
      <c r="B289" s="23" t="s">
        <v>758</v>
      </c>
      <c r="C289" s="23" t="s">
        <v>81</v>
      </c>
      <c r="D289" s="23" t="n">
        <v>1</v>
      </c>
      <c r="E289" s="24" t="n">
        <v>13.5199994360636</v>
      </c>
      <c r="F289" s="24" t="n">
        <v>67.60009765625</v>
      </c>
      <c r="G289" s="24" t="n">
        <v>74.3602170348167</v>
      </c>
      <c r="H289" s="24" t="n">
        <v>0</v>
      </c>
      <c r="I289" s="25" t="n">
        <v>5.80000019073486</v>
      </c>
      <c r="J289" s="23" t="s">
        <v>761</v>
      </c>
    </row>
    <row r="290" customFormat="false" ht="15" hidden="false" customHeight="false" outlineLevel="0" collapsed="false">
      <c r="A290" s="23" t="s">
        <v>757</v>
      </c>
      <c r="B290" s="23" t="s">
        <v>758</v>
      </c>
      <c r="C290" s="23" t="s">
        <v>79</v>
      </c>
      <c r="D290" s="23" t="n">
        <v>7</v>
      </c>
      <c r="E290" s="24" t="n">
        <v>60.526085486609</v>
      </c>
      <c r="F290" s="24" t="n">
        <v>11.544059753418</v>
      </c>
      <c r="G290" s="24" t="n">
        <v>435.348292291164</v>
      </c>
      <c r="H290" s="24" t="n">
        <v>0</v>
      </c>
      <c r="I290" s="25" t="n">
        <v>-1.20000004768372</v>
      </c>
      <c r="J290" s="23" t="s">
        <v>762</v>
      </c>
    </row>
    <row r="291" customFormat="false" ht="15" hidden="false" customHeight="false" outlineLevel="0" collapsed="false">
      <c r="A291" s="23" t="s">
        <v>763</v>
      </c>
      <c r="B291" s="23" t="s">
        <v>764</v>
      </c>
      <c r="C291" s="23" t="s">
        <v>76</v>
      </c>
      <c r="D291" s="23" t="n">
        <v>1</v>
      </c>
      <c r="E291" s="24" t="n">
        <v>256.46981140296</v>
      </c>
      <c r="F291" s="24" t="n">
        <v>512.9404296875</v>
      </c>
      <c r="G291" s="24" t="n">
        <v>47.4999856948853</v>
      </c>
      <c r="H291" s="24" t="n">
        <v>0</v>
      </c>
      <c r="I291" s="25" t="n">
        <v>-2</v>
      </c>
      <c r="J291" s="23" t="s">
        <v>765</v>
      </c>
    </row>
    <row r="292" customFormat="false" ht="15" hidden="false" customHeight="false" outlineLevel="0" collapsed="false">
      <c r="A292" s="23" t="s">
        <v>763</v>
      </c>
      <c r="B292" s="23" t="s">
        <v>764</v>
      </c>
      <c r="C292" s="23" t="s">
        <v>87</v>
      </c>
      <c r="D292" s="23" t="n">
        <v>16</v>
      </c>
      <c r="E292" s="24" t="n">
        <v>26.8320587494516</v>
      </c>
      <c r="F292" s="24" t="n">
        <v>89.4400177001953</v>
      </c>
      <c r="G292" s="24" t="n">
        <v>40.0800736248493</v>
      </c>
      <c r="H292" s="24" t="n">
        <v>0</v>
      </c>
      <c r="I292" s="25" t="n">
        <v>-1.5</v>
      </c>
      <c r="J292" s="23" t="s">
        <v>766</v>
      </c>
    </row>
    <row r="293" customFormat="false" ht="15" hidden="false" customHeight="false" outlineLevel="0" collapsed="false">
      <c r="A293" s="23" t="s">
        <v>763</v>
      </c>
      <c r="B293" s="23" t="s">
        <v>764</v>
      </c>
      <c r="C293" s="23" t="s">
        <v>81</v>
      </c>
      <c r="D293" s="23" t="n">
        <v>1</v>
      </c>
      <c r="E293" s="24" t="n">
        <v>174.42000154822</v>
      </c>
      <c r="F293" s="24" t="n">
        <v>581.39892578125</v>
      </c>
      <c r="G293" s="24" t="n">
        <v>611.579921483994</v>
      </c>
      <c r="H293" s="24" t="n">
        <v>0</v>
      </c>
      <c r="I293" s="25" t="n">
        <v>6.5</v>
      </c>
      <c r="J293" s="23" t="s">
        <v>767</v>
      </c>
    </row>
    <row r="294" customFormat="false" ht="15" hidden="false" customHeight="false" outlineLevel="0" collapsed="false">
      <c r="A294" s="23" t="s">
        <v>763</v>
      </c>
      <c r="B294" s="23" t="s">
        <v>764</v>
      </c>
      <c r="C294" s="23" t="s">
        <v>79</v>
      </c>
      <c r="D294" s="23" t="n">
        <v>12</v>
      </c>
      <c r="E294" s="24" t="n">
        <v>255.032836842931</v>
      </c>
      <c r="F294" s="24" t="n">
        <v>50.5936660766602</v>
      </c>
      <c r="G294" s="24" t="n">
        <v>1772.87008424848</v>
      </c>
      <c r="H294" s="24" t="n">
        <v>0</v>
      </c>
      <c r="I294" s="25" t="n">
        <v>-1.5</v>
      </c>
      <c r="J294" s="23" t="s">
        <v>768</v>
      </c>
    </row>
    <row r="295" customFormat="false" ht="15" hidden="false" customHeight="false" outlineLevel="0" collapsed="false">
      <c r="A295" s="23" t="s">
        <v>763</v>
      </c>
      <c r="B295" s="23" t="s">
        <v>769</v>
      </c>
      <c r="C295" s="23" t="s">
        <v>76</v>
      </c>
      <c r="D295" s="23" t="n">
        <v>1</v>
      </c>
      <c r="E295" s="24" t="n">
        <v>256.470127379231</v>
      </c>
      <c r="F295" s="24" t="n">
        <v>512.940185546875</v>
      </c>
      <c r="G295" s="24" t="n">
        <v>47.5000109672546</v>
      </c>
      <c r="H295" s="24" t="n">
        <v>0</v>
      </c>
      <c r="I295" s="25" t="n">
        <v>-2</v>
      </c>
      <c r="J295" s="23" t="s">
        <v>765</v>
      </c>
    </row>
    <row r="296" customFormat="false" ht="15" hidden="false" customHeight="false" outlineLevel="0" collapsed="false">
      <c r="A296" s="23" t="s">
        <v>763</v>
      </c>
      <c r="B296" s="23" t="s">
        <v>769</v>
      </c>
      <c r="C296" s="23" t="s">
        <v>87</v>
      </c>
      <c r="D296" s="23" t="n">
        <v>16</v>
      </c>
      <c r="E296" s="24" t="n">
        <v>26.8320372798042</v>
      </c>
      <c r="F296" s="24" t="n">
        <v>89.4404468536377</v>
      </c>
      <c r="G296" s="24" t="n">
        <v>40.0800848454237</v>
      </c>
      <c r="H296" s="24" t="n">
        <v>0</v>
      </c>
      <c r="I296" s="25" t="n">
        <v>-1.5</v>
      </c>
      <c r="J296" s="23" t="s">
        <v>766</v>
      </c>
    </row>
    <row r="297" customFormat="false" ht="15" hidden="false" customHeight="false" outlineLevel="0" collapsed="false">
      <c r="A297" s="23" t="s">
        <v>763</v>
      </c>
      <c r="B297" s="23" t="s">
        <v>769</v>
      </c>
      <c r="C297" s="23" t="s">
        <v>81</v>
      </c>
      <c r="D297" s="23" t="n">
        <v>1</v>
      </c>
      <c r="E297" s="24" t="n">
        <v>174.420173166994</v>
      </c>
      <c r="F297" s="24" t="n">
        <v>581.39990234375</v>
      </c>
      <c r="G297" s="24" t="n">
        <v>611.580164909363</v>
      </c>
      <c r="H297" s="24" t="n">
        <v>0</v>
      </c>
      <c r="I297" s="25" t="n">
        <v>6.5</v>
      </c>
      <c r="J297" s="23" t="s">
        <v>767</v>
      </c>
    </row>
    <row r="298" customFormat="false" ht="15" hidden="false" customHeight="false" outlineLevel="0" collapsed="false">
      <c r="A298" s="23" t="s">
        <v>763</v>
      </c>
      <c r="B298" s="23" t="s">
        <v>769</v>
      </c>
      <c r="C298" s="23" t="s">
        <v>79</v>
      </c>
      <c r="D298" s="23" t="n">
        <v>12</v>
      </c>
      <c r="E298" s="24" t="n">
        <v>255.031385770531</v>
      </c>
      <c r="F298" s="24" t="n">
        <v>50.5900363922119</v>
      </c>
      <c r="G298" s="24" t="n">
        <v>1772.87018059194</v>
      </c>
      <c r="H298" s="24" t="n">
        <v>0</v>
      </c>
      <c r="I298" s="25" t="n">
        <v>-1.5</v>
      </c>
      <c r="J298" s="23" t="s">
        <v>768</v>
      </c>
    </row>
    <row r="299" customFormat="false" ht="15" hidden="false" customHeight="false" outlineLevel="0" collapsed="false">
      <c r="A299" s="23" t="s">
        <v>770</v>
      </c>
      <c r="B299" s="23" t="s">
        <v>771</v>
      </c>
      <c r="C299" s="23" t="s">
        <v>736</v>
      </c>
      <c r="D299" s="23" t="n">
        <v>1</v>
      </c>
      <c r="E299" s="24" t="n">
        <v>0.179999359827922</v>
      </c>
      <c r="F299" s="24" t="n">
        <v>9</v>
      </c>
      <c r="G299" s="24" t="n">
        <v>0</v>
      </c>
      <c r="H299" s="24" t="n">
        <v>0</v>
      </c>
      <c r="I299" s="25" t="n">
        <v>-2.01999998092651</v>
      </c>
      <c r="J299" s="23" t="s">
        <v>772</v>
      </c>
    </row>
    <row r="300" customFormat="false" ht="15" hidden="false" customHeight="false" outlineLevel="0" collapsed="false">
      <c r="A300" s="23" t="s">
        <v>770</v>
      </c>
      <c r="B300" s="23" t="s">
        <v>771</v>
      </c>
      <c r="C300" s="23" t="s">
        <v>76</v>
      </c>
      <c r="D300" s="23" t="n">
        <v>1</v>
      </c>
      <c r="E300" s="24" t="n">
        <v>6.91200875423445</v>
      </c>
      <c r="F300" s="24" t="n">
        <v>23.0400390625</v>
      </c>
      <c r="G300" s="24" t="n">
        <v>6.00000149011612</v>
      </c>
      <c r="H300" s="24" t="n">
        <v>0</v>
      </c>
      <c r="I300" s="25" t="n">
        <v>-3.79999995231628</v>
      </c>
      <c r="J300" s="23" t="s">
        <v>773</v>
      </c>
    </row>
    <row r="301" customFormat="false" ht="15" hidden="false" customHeight="false" outlineLevel="0" collapsed="false">
      <c r="A301" s="23" t="s">
        <v>770</v>
      </c>
      <c r="B301" s="23" t="s">
        <v>771</v>
      </c>
      <c r="C301" s="23" t="s">
        <v>85</v>
      </c>
      <c r="D301" s="23" t="n">
        <v>1</v>
      </c>
      <c r="E301" s="24" t="n">
        <v>2.4119973237604</v>
      </c>
      <c r="F301" s="24" t="n">
        <v>24.119873046875</v>
      </c>
      <c r="G301" s="24" t="n">
        <v>2.0600016117096</v>
      </c>
      <c r="H301" s="24" t="n">
        <v>0</v>
      </c>
      <c r="I301" s="25" t="n">
        <v>-3.90000009536743</v>
      </c>
      <c r="J301" s="23" t="s">
        <v>774</v>
      </c>
    </row>
    <row r="302" customFormat="false" ht="15" hidden="false" customHeight="false" outlineLevel="0" collapsed="false">
      <c r="A302" s="23" t="s">
        <v>770</v>
      </c>
      <c r="B302" s="23" t="s">
        <v>771</v>
      </c>
      <c r="C302" s="23" t="s">
        <v>81</v>
      </c>
      <c r="D302" s="23" t="n">
        <v>5</v>
      </c>
      <c r="E302" s="24" t="n">
        <v>1.98001518760793</v>
      </c>
      <c r="F302" s="24" t="n">
        <v>6.60006332397461</v>
      </c>
      <c r="G302" s="24" t="n">
        <v>9.12000756710768</v>
      </c>
      <c r="H302" s="24" t="n">
        <v>0</v>
      </c>
      <c r="I302" s="25" t="n">
        <v>-1.5</v>
      </c>
      <c r="J302" s="23" t="s">
        <v>775</v>
      </c>
    </row>
    <row r="303" customFormat="false" ht="15" hidden="false" customHeight="false" outlineLevel="0" collapsed="false">
      <c r="A303" s="23" t="s">
        <v>770</v>
      </c>
      <c r="B303" s="23" t="s">
        <v>771</v>
      </c>
      <c r="C303" s="23" t="s">
        <v>79</v>
      </c>
      <c r="D303" s="23" t="n">
        <v>5</v>
      </c>
      <c r="E303" s="24" t="n">
        <v>14.6255885242109</v>
      </c>
      <c r="F303" s="24" t="n">
        <v>6.38349934265716</v>
      </c>
      <c r="G303" s="24" t="n">
        <v>104.422009222442</v>
      </c>
      <c r="H303" s="24" t="n">
        <v>0</v>
      </c>
      <c r="I303" s="25" t="n">
        <v>-3.5</v>
      </c>
      <c r="J303" s="23" t="s">
        <v>776</v>
      </c>
    </row>
    <row r="304" customFormat="false" ht="15" hidden="false" customHeight="false" outlineLevel="0" collapsed="false">
      <c r="A304" s="23" t="s">
        <v>777</v>
      </c>
      <c r="B304" s="23" t="s">
        <v>778</v>
      </c>
      <c r="C304" s="23" t="s">
        <v>736</v>
      </c>
      <c r="D304" s="23" t="n">
        <v>1</v>
      </c>
      <c r="E304" s="24" t="n">
        <v>0.180000430428815</v>
      </c>
      <c r="F304" s="24" t="n">
        <v>9</v>
      </c>
      <c r="G304" s="24" t="n">
        <v>0</v>
      </c>
      <c r="H304" s="24" t="n">
        <v>0</v>
      </c>
      <c r="I304" s="25" t="n">
        <v>-2.01999998092651</v>
      </c>
      <c r="J304" s="23" t="s">
        <v>772</v>
      </c>
    </row>
    <row r="305" customFormat="false" ht="15" hidden="false" customHeight="false" outlineLevel="0" collapsed="false">
      <c r="A305" s="23" t="s">
        <v>777</v>
      </c>
      <c r="B305" s="23" t="s">
        <v>778</v>
      </c>
      <c r="C305" s="23" t="s">
        <v>76</v>
      </c>
      <c r="D305" s="23" t="n">
        <v>2</v>
      </c>
      <c r="E305" s="24" t="n">
        <v>6.91200653598608</v>
      </c>
      <c r="F305" s="24" t="n">
        <v>23.0401611328125</v>
      </c>
      <c r="G305" s="24" t="n">
        <v>8.16000097990036</v>
      </c>
      <c r="H305" s="24" t="n">
        <v>0</v>
      </c>
      <c r="I305" s="25" t="n">
        <v>-5.30000019073486</v>
      </c>
      <c r="J305" s="23" t="s">
        <v>779</v>
      </c>
    </row>
    <row r="306" customFormat="false" ht="15" hidden="false" customHeight="false" outlineLevel="0" collapsed="false">
      <c r="A306" s="23" t="s">
        <v>777</v>
      </c>
      <c r="B306" s="23" t="s">
        <v>778</v>
      </c>
      <c r="C306" s="23" t="s">
        <v>85</v>
      </c>
      <c r="D306" s="23" t="n">
        <v>1</v>
      </c>
      <c r="E306" s="24" t="n">
        <v>1.49001304551514</v>
      </c>
      <c r="F306" s="24" t="n">
        <v>14.900146484375</v>
      </c>
      <c r="G306" s="24" t="n">
        <v>1.54778218269348</v>
      </c>
      <c r="H306" s="24" t="n">
        <v>0</v>
      </c>
      <c r="I306" s="25" t="n">
        <v>-5.40000009536743</v>
      </c>
      <c r="J306" s="23" t="s">
        <v>780</v>
      </c>
    </row>
    <row r="307" customFormat="false" ht="15" hidden="false" customHeight="false" outlineLevel="0" collapsed="false">
      <c r="A307" s="23" t="s">
        <v>777</v>
      </c>
      <c r="B307" s="23" t="s">
        <v>778</v>
      </c>
      <c r="C307" s="23" t="s">
        <v>81</v>
      </c>
      <c r="D307" s="23" t="n">
        <v>6</v>
      </c>
      <c r="E307" s="24" t="n">
        <v>2.95199950005668</v>
      </c>
      <c r="F307" s="24" t="n">
        <v>16.3198909759522</v>
      </c>
      <c r="G307" s="24" t="n">
        <v>10.3800041312352</v>
      </c>
      <c r="H307" s="24" t="n">
        <v>0</v>
      </c>
      <c r="I307" s="25" t="n">
        <v>-3.90000009536743</v>
      </c>
      <c r="J307" s="23" t="s">
        <v>781</v>
      </c>
    </row>
    <row r="308" customFormat="false" ht="15" hidden="false" customHeight="false" outlineLevel="0" collapsed="false">
      <c r="A308" s="23" t="s">
        <v>777</v>
      </c>
      <c r="B308" s="23" t="s">
        <v>778</v>
      </c>
      <c r="C308" s="23" t="s">
        <v>79</v>
      </c>
      <c r="D308" s="23" t="n">
        <v>7</v>
      </c>
      <c r="E308" s="24" t="n">
        <v>20.5656259900757</v>
      </c>
      <c r="F308" s="24" t="n">
        <v>6.38349540100899</v>
      </c>
      <c r="G308" s="24" t="n">
        <v>150.382163871487</v>
      </c>
      <c r="H308" s="24" t="n">
        <v>0</v>
      </c>
      <c r="I308" s="25" t="n">
        <v>-5</v>
      </c>
      <c r="J308" s="23" t="s">
        <v>782</v>
      </c>
    </row>
    <row r="309" customFormat="false" ht="15" hidden="false" customHeight="false" outlineLevel="0" collapsed="false">
      <c r="A309" s="23" t="s">
        <v>783</v>
      </c>
      <c r="B309" s="23" t="s">
        <v>784</v>
      </c>
      <c r="C309" s="23" t="s">
        <v>91</v>
      </c>
      <c r="D309" s="23" t="n">
        <v>1</v>
      </c>
      <c r="E309" s="24" t="n">
        <v>383.539885195063</v>
      </c>
      <c r="F309" s="24" t="n">
        <v>1917.7001953125</v>
      </c>
      <c r="G309" s="24" t="n">
        <v>0</v>
      </c>
      <c r="H309" s="24" t="n">
        <v>0</v>
      </c>
      <c r="I309" s="25" t="n">
        <v>0.699999988079071</v>
      </c>
      <c r="J309" s="23" t="s">
        <v>785</v>
      </c>
    </row>
    <row r="310" customFormat="false" ht="15" hidden="false" customHeight="false" outlineLevel="0" collapsed="false">
      <c r="A310" s="23" t="s">
        <v>783</v>
      </c>
      <c r="B310" s="23" t="s">
        <v>784</v>
      </c>
      <c r="C310" s="23" t="s">
        <v>736</v>
      </c>
      <c r="D310" s="23" t="n">
        <v>1</v>
      </c>
      <c r="E310" s="24" t="n">
        <v>0.49651815094381</v>
      </c>
      <c r="F310" s="24" t="n">
        <v>49.6517944335938</v>
      </c>
      <c r="G310" s="24" t="n">
        <v>0</v>
      </c>
      <c r="H310" s="24" t="n">
        <v>0</v>
      </c>
      <c r="I310" s="25" t="n">
        <v>3.99000000953674</v>
      </c>
      <c r="J310" s="23" t="s">
        <v>786</v>
      </c>
    </row>
    <row r="311" customFormat="false" ht="15" hidden="false" customHeight="false" outlineLevel="0" collapsed="false">
      <c r="A311" s="23" t="s">
        <v>783</v>
      </c>
      <c r="B311" s="23" t="s">
        <v>784</v>
      </c>
      <c r="C311" s="23" t="s">
        <v>76</v>
      </c>
      <c r="D311" s="23" t="n">
        <v>1</v>
      </c>
      <c r="E311" s="24" t="n">
        <v>558.552241707435</v>
      </c>
      <c r="F311" s="24" t="n">
        <v>1861.83984375</v>
      </c>
      <c r="G311" s="24" t="n">
        <v>55.5000123977661</v>
      </c>
      <c r="H311" s="24" t="n">
        <v>0</v>
      </c>
      <c r="I311" s="25" t="n">
        <v>0.899999976158142</v>
      </c>
      <c r="J311" s="23" t="s">
        <v>787</v>
      </c>
    </row>
    <row r="312" customFormat="false" ht="15" hidden="false" customHeight="false" outlineLevel="0" collapsed="false">
      <c r="A312" s="23" t="s">
        <v>783</v>
      </c>
      <c r="B312" s="23" t="s">
        <v>784</v>
      </c>
      <c r="C312" s="23" t="s">
        <v>85</v>
      </c>
      <c r="D312" s="23" t="n">
        <v>1</v>
      </c>
      <c r="E312" s="24" t="n">
        <v>17.1870734676877</v>
      </c>
      <c r="F312" s="24" t="n">
        <v>57.2899475097656</v>
      </c>
      <c r="G312" s="24" t="n">
        <v>71.2464828789234</v>
      </c>
      <c r="H312" s="24" t="n">
        <v>0</v>
      </c>
      <c r="I312" s="25" t="n">
        <v>0.899999976158142</v>
      </c>
      <c r="J312" s="23" t="s">
        <v>788</v>
      </c>
    </row>
    <row r="313" customFormat="false" ht="15" hidden="false" customHeight="false" outlineLevel="0" collapsed="false">
      <c r="A313" s="23" t="s">
        <v>783</v>
      </c>
      <c r="B313" s="23" t="s">
        <v>784</v>
      </c>
      <c r="C313" s="23" t="s">
        <v>87</v>
      </c>
      <c r="D313" s="23" t="n">
        <v>60</v>
      </c>
      <c r="E313" s="24" t="n">
        <v>115.955919423815</v>
      </c>
      <c r="F313" s="24" t="n">
        <v>386.519729614258</v>
      </c>
      <c r="G313" s="24" t="n">
        <v>165.959943477064</v>
      </c>
      <c r="H313" s="24" t="n">
        <v>0</v>
      </c>
      <c r="I313" s="25" t="n">
        <v>1.20000004768372</v>
      </c>
      <c r="J313" s="23" t="s">
        <v>789</v>
      </c>
    </row>
    <row r="314" customFormat="false" ht="15" hidden="false" customHeight="false" outlineLevel="0" collapsed="false">
      <c r="A314" s="23" t="s">
        <v>783</v>
      </c>
      <c r="B314" s="23" t="s">
        <v>784</v>
      </c>
      <c r="C314" s="23" t="s">
        <v>81</v>
      </c>
      <c r="D314" s="23" t="n">
        <v>1</v>
      </c>
      <c r="E314" s="24" t="n">
        <v>387.295691104863</v>
      </c>
      <c r="F314" s="24" t="n">
        <v>1936.4814453125</v>
      </c>
      <c r="G314" s="24" t="n">
        <v>1974.12142896652</v>
      </c>
      <c r="H314" s="24" t="n">
        <v>0</v>
      </c>
      <c r="I314" s="25" t="n">
        <v>8.60000038146973</v>
      </c>
      <c r="J314" s="23" t="s">
        <v>790</v>
      </c>
    </row>
    <row r="315" customFormat="false" ht="15" hidden="false" customHeight="false" outlineLevel="0" collapsed="false">
      <c r="A315" s="23" t="s">
        <v>783</v>
      </c>
      <c r="B315" s="23" t="s">
        <v>784</v>
      </c>
      <c r="C315" s="23" t="s">
        <v>79</v>
      </c>
      <c r="D315" s="23" t="n">
        <v>21</v>
      </c>
      <c r="E315" s="24" t="n">
        <v>460.103219409673</v>
      </c>
      <c r="F315" s="24" t="n">
        <v>92.9587497711182</v>
      </c>
      <c r="G315" s="24" t="n">
        <v>3229.31369754672</v>
      </c>
      <c r="H315" s="24" t="n">
        <v>0</v>
      </c>
      <c r="I315" s="25" t="n">
        <v>1.20000004768372</v>
      </c>
      <c r="J315" s="23" t="s">
        <v>791</v>
      </c>
    </row>
    <row r="316" customFormat="false" ht="15" hidden="false" customHeight="false" outlineLevel="0" collapsed="false">
      <c r="A316" s="23" t="s">
        <v>792</v>
      </c>
      <c r="B316" s="23" t="s">
        <v>793</v>
      </c>
      <c r="C316" s="23" t="s">
        <v>87</v>
      </c>
      <c r="D316" s="23" t="n">
        <v>1</v>
      </c>
      <c r="E316" s="24" t="n">
        <v>615.999976357096</v>
      </c>
      <c r="F316" s="24" t="n">
        <v>1232.00048828125</v>
      </c>
      <c r="G316" s="24" t="n">
        <v>70.8000001907349</v>
      </c>
      <c r="H316" s="24" t="n">
        <v>0</v>
      </c>
      <c r="I316" s="25" t="n">
        <v>1</v>
      </c>
      <c r="J316" s="23" t="s">
        <v>794</v>
      </c>
    </row>
    <row r="317" customFormat="false" ht="15" hidden="false" customHeight="false" outlineLevel="0" collapsed="false">
      <c r="A317" s="23" t="s">
        <v>795</v>
      </c>
      <c r="B317" s="23" t="s">
        <v>796</v>
      </c>
      <c r="C317" s="23" t="s">
        <v>282</v>
      </c>
      <c r="D317" s="23" t="n">
        <v>2</v>
      </c>
      <c r="E317" s="24" t="n">
        <v>12.6867033803095</v>
      </c>
      <c r="F317" s="24" t="n">
        <v>2.88334274291992</v>
      </c>
      <c r="G317" s="24" t="n">
        <v>0</v>
      </c>
      <c r="H317" s="24" t="n">
        <v>0</v>
      </c>
      <c r="I317" s="25" t="n">
        <v>2.29999995231628</v>
      </c>
      <c r="J317" s="23" t="s">
        <v>797</v>
      </c>
    </row>
    <row r="318" customFormat="false" ht="15" hidden="false" customHeight="false" outlineLevel="0" collapsed="false">
      <c r="A318" s="23" t="s">
        <v>795</v>
      </c>
      <c r="B318" s="23" t="s">
        <v>796</v>
      </c>
      <c r="C318" s="23" t="s">
        <v>76</v>
      </c>
      <c r="D318" s="23" t="n">
        <v>2</v>
      </c>
      <c r="E318" s="24" t="n">
        <v>387.755404887949</v>
      </c>
      <c r="F318" s="24" t="n">
        <v>1560.73889160156</v>
      </c>
      <c r="G318" s="24" t="n">
        <v>58.7777788639069</v>
      </c>
      <c r="H318" s="24" t="n">
        <v>0</v>
      </c>
      <c r="I318" s="25" t="n">
        <v>-1.20000004768372</v>
      </c>
      <c r="J318" s="23" t="s">
        <v>798</v>
      </c>
    </row>
    <row r="319" customFormat="false" ht="15" hidden="false" customHeight="false" outlineLevel="0" collapsed="false">
      <c r="A319" s="23" t="s">
        <v>795</v>
      </c>
      <c r="B319" s="23" t="s">
        <v>796</v>
      </c>
      <c r="C319" s="23" t="s">
        <v>87</v>
      </c>
      <c r="D319" s="23" t="n">
        <v>24</v>
      </c>
      <c r="E319" s="24" t="n">
        <v>47.0940186261259</v>
      </c>
      <c r="F319" s="24" t="n">
        <v>156.98007774353</v>
      </c>
      <c r="G319" s="24" t="n">
        <v>67.1400538869202</v>
      </c>
      <c r="H319" s="24" t="n">
        <v>0</v>
      </c>
      <c r="I319" s="25" t="n">
        <v>-0.699999988079071</v>
      </c>
      <c r="J319" s="23" t="s">
        <v>799</v>
      </c>
    </row>
    <row r="320" customFormat="false" ht="15" hidden="false" customHeight="false" outlineLevel="0" collapsed="false">
      <c r="A320" s="23" t="s">
        <v>795</v>
      </c>
      <c r="B320" s="23" t="s">
        <v>796</v>
      </c>
      <c r="C320" s="23" t="s">
        <v>81</v>
      </c>
      <c r="D320" s="23" t="n">
        <v>1</v>
      </c>
      <c r="E320" s="24" t="n">
        <v>161.433660336466</v>
      </c>
      <c r="F320" s="24" t="n">
        <v>807.167114257813</v>
      </c>
      <c r="G320" s="24" t="n">
        <v>831.089829623699</v>
      </c>
      <c r="H320" s="24" t="n">
        <v>0</v>
      </c>
      <c r="I320" s="25" t="n">
        <v>6.69999980926514</v>
      </c>
      <c r="J320" s="23" t="s">
        <v>800</v>
      </c>
    </row>
    <row r="321" customFormat="false" ht="15" hidden="false" customHeight="false" outlineLevel="0" collapsed="false">
      <c r="A321" s="23" t="s">
        <v>795</v>
      </c>
      <c r="B321" s="23" t="s">
        <v>796</v>
      </c>
      <c r="C321" s="23" t="s">
        <v>79</v>
      </c>
      <c r="D321" s="23" t="n">
        <v>18</v>
      </c>
      <c r="E321" s="24" t="n">
        <v>282.444068223758</v>
      </c>
      <c r="F321" s="24" t="n">
        <v>54.8136701583862</v>
      </c>
      <c r="G321" s="24" t="n">
        <v>1997.00537107885</v>
      </c>
      <c r="H321" s="24" t="n">
        <v>0</v>
      </c>
      <c r="I321" s="25" t="n">
        <v>-0.699999988079071</v>
      </c>
      <c r="J321" s="23" t="s">
        <v>801</v>
      </c>
    </row>
    <row r="322" customFormat="false" ht="15" hidden="false" customHeight="false" outlineLevel="0" collapsed="false">
      <c r="A322" s="23" t="s">
        <v>802</v>
      </c>
      <c r="B322" s="23" t="s">
        <v>803</v>
      </c>
      <c r="C322" s="23" t="s">
        <v>76</v>
      </c>
      <c r="D322" s="23" t="n">
        <v>1</v>
      </c>
      <c r="E322" s="24" t="n">
        <v>400.144058600374</v>
      </c>
      <c r="F322" s="24" t="n">
        <v>1000.35986328125</v>
      </c>
      <c r="G322" s="24" t="n">
        <v>50.9600033760071</v>
      </c>
      <c r="H322" s="24" t="n">
        <v>0</v>
      </c>
      <c r="I322" s="25" t="n">
        <v>-1.89999997615814</v>
      </c>
      <c r="J322" s="23" t="s">
        <v>804</v>
      </c>
    </row>
    <row r="323" customFormat="false" ht="15" hidden="false" customHeight="false" outlineLevel="0" collapsed="false">
      <c r="A323" s="23" t="s">
        <v>802</v>
      </c>
      <c r="B323" s="23" t="s">
        <v>803</v>
      </c>
      <c r="C323" s="23" t="s">
        <v>87</v>
      </c>
      <c r="D323" s="23" t="n">
        <v>5</v>
      </c>
      <c r="E323" s="24" t="n">
        <v>40.4999848778079</v>
      </c>
      <c r="F323" s="24" t="n">
        <v>134.999877929688</v>
      </c>
      <c r="G323" s="24" t="n">
        <v>35.9999848306179</v>
      </c>
      <c r="H323" s="24" t="n">
        <v>0</v>
      </c>
      <c r="I323" s="25" t="n">
        <v>-1.5</v>
      </c>
      <c r="J323" s="23" t="s">
        <v>805</v>
      </c>
    </row>
    <row r="324" customFormat="false" ht="15" hidden="false" customHeight="false" outlineLevel="0" collapsed="false">
      <c r="A324" s="23" t="s">
        <v>802</v>
      </c>
      <c r="B324" s="23" t="s">
        <v>803</v>
      </c>
      <c r="C324" s="23" t="s">
        <v>81</v>
      </c>
      <c r="D324" s="23" t="n">
        <v>1</v>
      </c>
      <c r="E324" s="24" t="n">
        <v>210.391776854373</v>
      </c>
      <c r="F324" s="24" t="n">
        <v>1051.95947265625</v>
      </c>
      <c r="G324" s="24" t="n">
        <v>1078.07944583893</v>
      </c>
      <c r="H324" s="24" t="n">
        <v>0</v>
      </c>
      <c r="I324" s="25" t="n">
        <v>8.5</v>
      </c>
      <c r="J324" s="23" t="s">
        <v>806</v>
      </c>
    </row>
    <row r="325" customFormat="false" ht="15" hidden="false" customHeight="false" outlineLevel="0" collapsed="false">
      <c r="A325" s="23" t="s">
        <v>802</v>
      </c>
      <c r="B325" s="23" t="s">
        <v>803</v>
      </c>
      <c r="C325" s="23" t="s">
        <v>79</v>
      </c>
      <c r="D325" s="23" t="n">
        <v>9</v>
      </c>
      <c r="E325" s="24" t="n">
        <v>373.350064724708</v>
      </c>
      <c r="F325" s="24" t="n">
        <v>55.8595275878906</v>
      </c>
      <c r="G325" s="24" t="n">
        <v>2584.59994450957</v>
      </c>
      <c r="H325" s="24" t="n">
        <v>0</v>
      </c>
      <c r="I325" s="25" t="n">
        <v>-1.5</v>
      </c>
      <c r="J325" s="23" t="s">
        <v>807</v>
      </c>
    </row>
    <row r="326" customFormat="false" ht="15" hidden="false" customHeight="false" outlineLevel="0" collapsed="false">
      <c r="A326" s="23" t="s">
        <v>808</v>
      </c>
      <c r="B326" s="23" t="s">
        <v>809</v>
      </c>
      <c r="C326" s="23" t="s">
        <v>76</v>
      </c>
      <c r="D326" s="23" t="n">
        <v>5</v>
      </c>
      <c r="E326" s="24" t="n">
        <v>63.2190605498174</v>
      </c>
      <c r="F326" s="24" t="n">
        <v>210.729949951172</v>
      </c>
      <c r="G326" s="24" t="n">
        <v>52.5300193522126</v>
      </c>
      <c r="H326" s="24" t="n">
        <v>0</v>
      </c>
      <c r="I326" s="25" t="n">
        <v>-1.60000002384186</v>
      </c>
      <c r="J326" s="23" t="s">
        <v>810</v>
      </c>
    </row>
    <row r="327" customFormat="false" ht="15" hidden="false" customHeight="false" outlineLevel="0" collapsed="false">
      <c r="A327" s="23" t="s">
        <v>808</v>
      </c>
      <c r="B327" s="23" t="s">
        <v>809</v>
      </c>
      <c r="C327" s="23" t="s">
        <v>85</v>
      </c>
      <c r="D327" s="23" t="n">
        <v>11</v>
      </c>
      <c r="E327" s="24" t="n">
        <v>26.4119545809096</v>
      </c>
      <c r="F327" s="24" t="n">
        <v>75.4993619918823</v>
      </c>
      <c r="G327" s="24" t="n">
        <v>159.719978250563</v>
      </c>
      <c r="H327" s="24" t="n">
        <v>0</v>
      </c>
      <c r="I327" s="25" t="n">
        <v>-2.09999990463257</v>
      </c>
      <c r="J327" s="23" t="s">
        <v>811</v>
      </c>
    </row>
    <row r="328" customFormat="false" ht="15" hidden="false" customHeight="false" outlineLevel="0" collapsed="false">
      <c r="A328" s="23" t="s">
        <v>808</v>
      </c>
      <c r="B328" s="23" t="s">
        <v>809</v>
      </c>
      <c r="C328" s="23" t="s">
        <v>87</v>
      </c>
      <c r="D328" s="23" t="n">
        <v>2</v>
      </c>
      <c r="E328" s="24" t="n">
        <v>16.5599960645771</v>
      </c>
      <c r="F328" s="24" t="n">
        <v>110.400146484375</v>
      </c>
      <c r="G328" s="24" t="n">
        <v>15.2399968355894</v>
      </c>
      <c r="H328" s="24" t="n">
        <v>0</v>
      </c>
      <c r="I328" s="25" t="n">
        <v>-1.29999995231628</v>
      </c>
      <c r="J328" s="23" t="s">
        <v>812</v>
      </c>
    </row>
    <row r="329" customFormat="false" ht="15" hidden="false" customHeight="false" outlineLevel="0" collapsed="false">
      <c r="A329" s="23" t="s">
        <v>808</v>
      </c>
      <c r="B329" s="23" t="s">
        <v>809</v>
      </c>
      <c r="C329" s="23" t="s">
        <v>81</v>
      </c>
      <c r="D329" s="23" t="n">
        <v>9</v>
      </c>
      <c r="E329" s="24" t="n">
        <v>45.6049797269181</v>
      </c>
      <c r="F329" s="24" t="n">
        <v>323.034833908081</v>
      </c>
      <c r="G329" s="24" t="n">
        <v>409.102962676436</v>
      </c>
      <c r="H329" s="24" t="n">
        <v>0</v>
      </c>
      <c r="I329" s="25" t="n">
        <v>3.70000004768372</v>
      </c>
      <c r="J329" s="23" t="s">
        <v>813</v>
      </c>
    </row>
    <row r="330" customFormat="false" ht="15" hidden="false" customHeight="false" outlineLevel="0" collapsed="false">
      <c r="A330" s="23" t="s">
        <v>808</v>
      </c>
      <c r="B330" s="23" t="s">
        <v>809</v>
      </c>
      <c r="C330" s="23" t="s">
        <v>79</v>
      </c>
      <c r="D330" s="23" t="n">
        <v>8</v>
      </c>
      <c r="E330" s="24" t="n">
        <v>80.0633148018315</v>
      </c>
      <c r="F330" s="24" t="n">
        <v>28.0867800712585</v>
      </c>
      <c r="G330" s="24" t="n">
        <v>882.960584757464</v>
      </c>
      <c r="H330" s="24" t="n">
        <v>0</v>
      </c>
      <c r="I330" s="25" t="n">
        <v>-1.29999995231628</v>
      </c>
      <c r="J330" s="23" t="s">
        <v>814</v>
      </c>
    </row>
    <row r="331" customFormat="false" ht="15" hidden="false" customHeight="false" outlineLevel="0" collapsed="false">
      <c r="A331" s="23" t="s">
        <v>815</v>
      </c>
      <c r="B331" s="23" t="s">
        <v>816</v>
      </c>
      <c r="C331" s="23" t="s">
        <v>76</v>
      </c>
      <c r="D331" s="23" t="n">
        <v>4</v>
      </c>
      <c r="E331" s="24" t="n">
        <v>45.2019960689281</v>
      </c>
      <c r="F331" s="24" t="n">
        <v>181.39013671875</v>
      </c>
      <c r="G331" s="24" t="n">
        <v>42.1299990043044</v>
      </c>
      <c r="H331" s="24" t="n">
        <v>0</v>
      </c>
      <c r="I331" s="25" t="n">
        <v>0.200000002980232</v>
      </c>
      <c r="J331" s="23" t="s">
        <v>817</v>
      </c>
    </row>
    <row r="332" customFormat="false" ht="15" hidden="false" customHeight="false" outlineLevel="0" collapsed="false">
      <c r="A332" s="23" t="s">
        <v>815</v>
      </c>
      <c r="B332" s="23" t="s">
        <v>816</v>
      </c>
      <c r="C332" s="23" t="s">
        <v>85</v>
      </c>
      <c r="D332" s="23" t="n">
        <v>6</v>
      </c>
      <c r="E332" s="24" t="n">
        <v>10.5750399249784</v>
      </c>
      <c r="F332" s="24" t="n">
        <v>63.8999633789063</v>
      </c>
      <c r="G332" s="24" t="n">
        <v>191.074970055372</v>
      </c>
      <c r="H332" s="24" t="n">
        <v>0</v>
      </c>
      <c r="I332" s="25" t="n">
        <v>-0.300000011920929</v>
      </c>
      <c r="J332" s="23" t="s">
        <v>818</v>
      </c>
    </row>
    <row r="333" customFormat="false" ht="15" hidden="false" customHeight="false" outlineLevel="0" collapsed="false">
      <c r="A333" s="23" t="s">
        <v>815</v>
      </c>
      <c r="B333" s="23" t="s">
        <v>816</v>
      </c>
      <c r="C333" s="23" t="s">
        <v>81</v>
      </c>
      <c r="D333" s="23" t="n">
        <v>2</v>
      </c>
      <c r="E333" s="24" t="n">
        <v>30.0134224173429</v>
      </c>
      <c r="F333" s="24" t="n">
        <v>169.587524414063</v>
      </c>
      <c r="G333" s="24" t="n">
        <v>182.247603222728</v>
      </c>
      <c r="H333" s="24" t="n">
        <v>0</v>
      </c>
      <c r="I333" s="25" t="n">
        <v>0.649999976158142</v>
      </c>
      <c r="J333" s="23" t="s">
        <v>819</v>
      </c>
    </row>
    <row r="334" customFormat="false" ht="15" hidden="false" customHeight="false" outlineLevel="0" collapsed="false">
      <c r="A334" s="23" t="s">
        <v>815</v>
      </c>
      <c r="B334" s="23" t="s">
        <v>816</v>
      </c>
      <c r="C334" s="23" t="s">
        <v>79</v>
      </c>
      <c r="D334" s="23" t="n">
        <v>9</v>
      </c>
      <c r="E334" s="24" t="n">
        <v>73.8275677827224</v>
      </c>
      <c r="F334" s="24" t="n">
        <v>21.9204263687134</v>
      </c>
      <c r="G334" s="24" t="n">
        <v>534.283879105002</v>
      </c>
      <c r="H334" s="24" t="n">
        <v>0</v>
      </c>
      <c r="I334" s="25" t="n">
        <v>0.699999988079071</v>
      </c>
      <c r="J334" s="23" t="s">
        <v>820</v>
      </c>
    </row>
  </sheetData>
  <autoFilter ref="A4:J3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11" min="9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17.35" hidden="false" customHeight="false" outlineLevel="0" collapsed="false">
      <c r="A1" s="1" t="s">
        <v>821</v>
      </c>
    </row>
    <row r="2" customFormat="false" ht="15" hidden="false" customHeight="false" outlineLevel="0" collapsed="false">
      <c r="A2" s="2" t="s">
        <v>822</v>
      </c>
    </row>
    <row r="4" customFormat="false" ht="31.5" hidden="false" customHeight="true" outlineLevel="0" collapsed="false">
      <c r="A4" s="5" t="s">
        <v>17</v>
      </c>
      <c r="B4" s="5" t="s">
        <v>599</v>
      </c>
      <c r="C4" s="5" t="s">
        <v>823</v>
      </c>
      <c r="D4" s="5" t="s">
        <v>824</v>
      </c>
      <c r="E4" s="5" t="s">
        <v>825</v>
      </c>
      <c r="F4" s="5" t="s">
        <v>826</v>
      </c>
      <c r="G4" s="5" t="s">
        <v>606</v>
      </c>
      <c r="H4" s="5" t="s">
        <v>827</v>
      </c>
      <c r="I4" s="5" t="s">
        <v>828</v>
      </c>
      <c r="J4" s="5" t="s">
        <v>829</v>
      </c>
      <c r="K4" s="5" t="s">
        <v>830</v>
      </c>
      <c r="L4" s="5" t="s">
        <v>831</v>
      </c>
      <c r="M4" s="5" t="s">
        <v>832</v>
      </c>
      <c r="N4" s="5" t="s">
        <v>833</v>
      </c>
    </row>
    <row r="5" customFormat="false" ht="15" hidden="false" customHeight="false" outlineLevel="0" collapsed="false">
      <c r="A5" s="23" t="s">
        <v>608</v>
      </c>
      <c r="B5" s="23" t="s">
        <v>609</v>
      </c>
      <c r="C5" s="23" t="s">
        <v>22</v>
      </c>
      <c r="D5" s="26" t="s">
        <v>834</v>
      </c>
      <c r="E5" s="12" t="n">
        <v>35.6</v>
      </c>
      <c r="F5" s="12" t="n">
        <v>24.2</v>
      </c>
      <c r="G5" s="25" t="n">
        <v>-5.7</v>
      </c>
      <c r="H5" s="27" t="n">
        <f aca="false">IF(E5=0,0,MAX(0,NG-G5))</f>
        <v>5</v>
      </c>
      <c r="I5" s="8" t="n">
        <f aca="false">H5*E5+F5*(WS_STR*H5+SLOPE_STR*H5^2/2)+PI()*(WS_STR^2*H5+WS_STR*SLOPE_STR*H5^2+SLOPE_STR^2*H5^3/3)</f>
        <v>1180.79199905161</v>
      </c>
      <c r="J5" s="8" t="n">
        <f aca="false">MAX(0,I5-E5*H5)</f>
        <v>1002.79199905161</v>
      </c>
      <c r="K5" s="12" t="n">
        <v>647.3</v>
      </c>
      <c r="L5" s="12" t="n">
        <v>0</v>
      </c>
      <c r="M5" s="23" t="s">
        <v>835</v>
      </c>
      <c r="N5" s="8" t="n">
        <f aca="false">ROUNDUP(MAX(E5,K5)*PILE_DENS,0)</f>
        <v>65</v>
      </c>
    </row>
    <row r="6" customFormat="false" ht="15" hidden="false" customHeight="false" outlineLevel="0" collapsed="false">
      <c r="A6" s="23" t="s">
        <v>617</v>
      </c>
      <c r="B6" s="23" t="s">
        <v>618</v>
      </c>
      <c r="C6" s="23" t="s">
        <v>836</v>
      </c>
      <c r="D6" s="26" t="s">
        <v>837</v>
      </c>
      <c r="E6" s="12" t="n">
        <v>6050.3</v>
      </c>
      <c r="F6" s="12" t="n">
        <v>312.8</v>
      </c>
      <c r="G6" s="25" t="n">
        <v>-7.6</v>
      </c>
      <c r="H6" s="27" t="n">
        <f aca="false">IF(E6=0,0,MAX(0,NG-G6))</f>
        <v>6.9</v>
      </c>
      <c r="I6" s="8" t="n">
        <f aca="false">H6*E6+F6*(WS_STR*H6+SLOPE_STR*H6^2/2)+PI()*(WS_STR^2*H6+WS_STR*SLOPE_STR*H6^2+SLOPE_STR^2*H6^3/3)</f>
        <v>56094.7609244445</v>
      </c>
      <c r="J6" s="8" t="n">
        <f aca="false">MAX(0,I6-E6*H6)</f>
        <v>14347.6909244445</v>
      </c>
      <c r="K6" s="12" t="n">
        <v>6454.4</v>
      </c>
      <c r="L6" s="12" t="n">
        <v>0</v>
      </c>
      <c r="M6" s="23" t="s">
        <v>835</v>
      </c>
      <c r="N6" s="8" t="n">
        <f aca="false">ROUNDUP(MAX(E6,K6)*PILE_DENS,0)</f>
        <v>646</v>
      </c>
    </row>
    <row r="7" customFormat="false" ht="15" hidden="false" customHeight="false" outlineLevel="0" collapsed="false">
      <c r="A7" s="23" t="s">
        <v>628</v>
      </c>
      <c r="B7" s="23" t="s">
        <v>629</v>
      </c>
      <c r="C7" s="23" t="s">
        <v>838</v>
      </c>
      <c r="D7" s="26" t="s">
        <v>839</v>
      </c>
      <c r="E7" s="12" t="n">
        <v>842.5</v>
      </c>
      <c r="F7" s="12" t="n">
        <v>116.1</v>
      </c>
      <c r="G7" s="25" t="n">
        <v>-7.6</v>
      </c>
      <c r="H7" s="27" t="n">
        <f aca="false">IF(E7=0,0,MAX(0,NG-G7))</f>
        <v>6.9</v>
      </c>
      <c r="I7" s="8" t="n">
        <f aca="false">H7*E7+F7*(WS_STR*H7+SLOPE_STR*H7^2/2)+PI()*(WS_STR^2*H7+WS_STR*SLOPE_STR*H7^2+SLOPE_STR^2*H7^3/3)</f>
        <v>11780.0456744445</v>
      </c>
      <c r="J7" s="8" t="n">
        <f aca="false">MAX(0,I7-E7*H7)</f>
        <v>5966.79567444448</v>
      </c>
      <c r="K7" s="12" t="n">
        <v>801.5</v>
      </c>
      <c r="L7" s="12" t="n">
        <v>0</v>
      </c>
      <c r="M7" s="23" t="s">
        <v>835</v>
      </c>
      <c r="N7" s="8" t="n">
        <f aca="false">ROUNDUP(MAX(E7,K7)*PILE_DENS,0)</f>
        <v>85</v>
      </c>
    </row>
    <row r="8" customFormat="false" ht="15" hidden="false" customHeight="false" outlineLevel="0" collapsed="false">
      <c r="A8" s="23" t="s">
        <v>628</v>
      </c>
      <c r="B8" s="23" t="s">
        <v>634</v>
      </c>
      <c r="C8" s="23" t="s">
        <v>840</v>
      </c>
      <c r="D8" s="26" t="s">
        <v>841</v>
      </c>
      <c r="E8" s="12" t="n">
        <v>0</v>
      </c>
      <c r="F8" s="12" t="n">
        <v>0</v>
      </c>
      <c r="G8" s="25" t="n">
        <v>3.5</v>
      </c>
      <c r="H8" s="27" t="n">
        <f aca="false">IF(E8=0,0,MAX(0,NG-G8))</f>
        <v>0</v>
      </c>
      <c r="I8" s="8" t="n">
        <f aca="false">H8*E8+F8*(WS_STR*H8+SLOPE_STR*H8^2/2)+PI()*(WS_STR^2*H8+WS_STR*SLOPE_STR*H8^2+SLOPE_STR^2*H8^3/3)</f>
        <v>0</v>
      </c>
      <c r="J8" s="8" t="n">
        <f aca="false">MAX(0,I8-E8*H8)</f>
        <v>0</v>
      </c>
      <c r="K8" s="12" t="n">
        <v>321.6</v>
      </c>
      <c r="L8" s="12" t="n">
        <v>0</v>
      </c>
      <c r="M8" s="23" t="s">
        <v>835</v>
      </c>
      <c r="N8" s="8" t="n">
        <f aca="false">ROUNDUP(MAX(E8,K8)*PILE_DENS,0)</f>
        <v>33</v>
      </c>
    </row>
    <row r="9" customFormat="false" ht="15" hidden="false" customHeight="false" outlineLevel="0" collapsed="false">
      <c r="A9" s="23" t="s">
        <v>639</v>
      </c>
      <c r="B9" s="23" t="s">
        <v>640</v>
      </c>
      <c r="C9" s="23" t="s">
        <v>842</v>
      </c>
      <c r="D9" s="26" t="s">
        <v>843</v>
      </c>
      <c r="E9" s="12" t="n">
        <v>34994.8</v>
      </c>
      <c r="F9" s="12" t="n">
        <v>774.3</v>
      </c>
      <c r="G9" s="25" t="n">
        <v>-3.1</v>
      </c>
      <c r="H9" s="27" t="n">
        <f aca="false">IF(E9=0,0,MAX(0,NG-G9))</f>
        <v>2.4</v>
      </c>
      <c r="I9" s="8" t="n">
        <f aca="false">H9*E9+F9*(WS_STR*H9+SLOPE_STR*H9^2/2)+PI()*(WS_STR^2*H9+WS_STR*SLOPE_STR*H9^2+SLOPE_STR^2*H9^3/3)</f>
        <v>89258.0712155281</v>
      </c>
      <c r="J9" s="8" t="n">
        <f aca="false">MAX(0,I9-E9*H9)</f>
        <v>5270.55121552806</v>
      </c>
      <c r="K9" s="12" t="n">
        <v>33611.3</v>
      </c>
      <c r="L9" s="12" t="n">
        <v>3672</v>
      </c>
      <c r="M9" s="23" t="s">
        <v>844</v>
      </c>
      <c r="N9" s="8" t="n">
        <f aca="false">L9</f>
        <v>3672</v>
      </c>
    </row>
    <row r="10" customFormat="false" ht="15" hidden="false" customHeight="false" outlineLevel="0" collapsed="false">
      <c r="A10" s="23" t="s">
        <v>649</v>
      </c>
      <c r="B10" s="23" t="s">
        <v>650</v>
      </c>
      <c r="C10" s="23" t="s">
        <v>845</v>
      </c>
      <c r="D10" s="26" t="s">
        <v>846</v>
      </c>
      <c r="E10" s="12" t="n">
        <v>96.8</v>
      </c>
      <c r="F10" s="12" t="n">
        <v>34.9</v>
      </c>
      <c r="G10" s="25" t="n">
        <v>-5.7</v>
      </c>
      <c r="H10" s="27" t="n">
        <f aca="false">IF(E10=0,0,MAX(0,NG-G10))</f>
        <v>5</v>
      </c>
      <c r="I10" s="8" t="n">
        <f aca="false">H10*E10+F10*(WS_STR*H10+SLOPE_STR*H10^2/2)+PI()*(WS_STR^2*H10+WS_STR*SLOPE_STR*H10^2+SLOPE_STR^2*H10^3/3)</f>
        <v>1740.91699905161</v>
      </c>
      <c r="J10" s="8" t="n">
        <f aca="false">MAX(0,I10-E10*H10)</f>
        <v>1256.91699905161</v>
      </c>
      <c r="K10" s="12" t="n">
        <v>230</v>
      </c>
      <c r="L10" s="12" t="n">
        <v>0</v>
      </c>
      <c r="M10" s="23" t="s">
        <v>835</v>
      </c>
      <c r="N10" s="8" t="n">
        <f aca="false">ROUNDUP(MAX(E10,K10)*PILE_DENS,0)</f>
        <v>23</v>
      </c>
    </row>
    <row r="11" customFormat="false" ht="15" hidden="false" customHeight="false" outlineLevel="0" collapsed="false">
      <c r="A11" s="23" t="s">
        <v>649</v>
      </c>
      <c r="B11" s="23" t="s">
        <v>658</v>
      </c>
      <c r="C11" s="23" t="s">
        <v>847</v>
      </c>
      <c r="D11" s="26" t="s">
        <v>846</v>
      </c>
      <c r="E11" s="12" t="n">
        <v>96.8</v>
      </c>
      <c r="F11" s="12" t="n">
        <v>34.9</v>
      </c>
      <c r="G11" s="25" t="n">
        <v>-5.7</v>
      </c>
      <c r="H11" s="27" t="n">
        <f aca="false">IF(E11=0,0,MAX(0,NG-G11))</f>
        <v>5</v>
      </c>
      <c r="I11" s="8" t="n">
        <f aca="false">H11*E11+F11*(WS_STR*H11+SLOPE_STR*H11^2/2)+PI()*(WS_STR^2*H11+WS_STR*SLOPE_STR*H11^2+SLOPE_STR^2*H11^3/3)</f>
        <v>1740.91699905161</v>
      </c>
      <c r="J11" s="8" t="n">
        <f aca="false">MAX(0,I11-E11*H11)</f>
        <v>1256.91699905161</v>
      </c>
      <c r="K11" s="12" t="n">
        <v>230</v>
      </c>
      <c r="L11" s="12" t="n">
        <v>0</v>
      </c>
      <c r="M11" s="23" t="s">
        <v>835</v>
      </c>
      <c r="N11" s="8" t="n">
        <f aca="false">ROUNDUP(MAX(E11,K11)*PILE_DENS,0)</f>
        <v>23</v>
      </c>
    </row>
    <row r="12" customFormat="false" ht="15" hidden="false" customHeight="false" outlineLevel="0" collapsed="false">
      <c r="A12" s="23" t="s">
        <v>649</v>
      </c>
      <c r="B12" s="23" t="s">
        <v>659</v>
      </c>
      <c r="C12" s="23" t="s">
        <v>848</v>
      </c>
      <c r="D12" s="26" t="s">
        <v>846</v>
      </c>
      <c r="E12" s="12" t="n">
        <v>96.8</v>
      </c>
      <c r="F12" s="12" t="n">
        <v>34.9</v>
      </c>
      <c r="G12" s="25" t="n">
        <v>-5.7</v>
      </c>
      <c r="H12" s="27" t="n">
        <f aca="false">IF(E12=0,0,MAX(0,NG-G12))</f>
        <v>5</v>
      </c>
      <c r="I12" s="8" t="n">
        <f aca="false">H12*E12+F12*(WS_STR*H12+SLOPE_STR*H12^2/2)+PI()*(WS_STR^2*H12+WS_STR*SLOPE_STR*H12^2+SLOPE_STR^2*H12^3/3)</f>
        <v>1740.91699905161</v>
      </c>
      <c r="J12" s="8" t="n">
        <f aca="false">MAX(0,I12-E12*H12)</f>
        <v>1256.91699905161</v>
      </c>
      <c r="K12" s="12" t="n">
        <v>230</v>
      </c>
      <c r="L12" s="12" t="n">
        <v>0</v>
      </c>
      <c r="M12" s="23" t="s">
        <v>835</v>
      </c>
      <c r="N12" s="8" t="n">
        <f aca="false">ROUNDUP(MAX(E12,K12)*PILE_DENS,0)</f>
        <v>23</v>
      </c>
    </row>
    <row r="13" customFormat="false" ht="15" hidden="false" customHeight="false" outlineLevel="0" collapsed="false">
      <c r="A13" s="23" t="s">
        <v>660</v>
      </c>
      <c r="B13" s="23" t="s">
        <v>661</v>
      </c>
      <c r="C13" s="23" t="s">
        <v>849</v>
      </c>
      <c r="D13" s="26" t="s">
        <v>850</v>
      </c>
      <c r="E13" s="12" t="n">
        <v>2550.4</v>
      </c>
      <c r="F13" s="12" t="n">
        <v>179</v>
      </c>
      <c r="G13" s="25" t="n">
        <v>-4.5</v>
      </c>
      <c r="H13" s="27" t="n">
        <f aca="false">IF(E13=0,0,MAX(0,NG-G13))</f>
        <v>3.8</v>
      </c>
      <c r="I13" s="8" t="n">
        <f aca="false">H13*E13+F13*(WS_STR*H13+SLOPE_STR*H13^2/2)+PI()*(WS_STR^2*H13+WS_STR*SLOPE_STR*H13^2+SLOPE_STR^2*H13^3/3)</f>
        <v>12519.5640530262</v>
      </c>
      <c r="J13" s="8" t="n">
        <f aca="false">MAX(0,I13-E13*H13)</f>
        <v>2828.04405302623</v>
      </c>
      <c r="K13" s="12" t="n">
        <v>2668.1</v>
      </c>
      <c r="L13" s="12" t="n">
        <v>213</v>
      </c>
      <c r="M13" s="23" t="s">
        <v>851</v>
      </c>
      <c r="N13" s="8" t="n">
        <f aca="false">L13</f>
        <v>213</v>
      </c>
    </row>
    <row r="14" customFormat="false" ht="15" hidden="false" customHeight="false" outlineLevel="0" collapsed="false">
      <c r="A14" s="23" t="s">
        <v>660</v>
      </c>
      <c r="B14" s="23" t="s">
        <v>670</v>
      </c>
      <c r="C14" s="23" t="s">
        <v>852</v>
      </c>
      <c r="D14" s="26" t="s">
        <v>850</v>
      </c>
      <c r="E14" s="12" t="n">
        <v>2550.2</v>
      </c>
      <c r="F14" s="12" t="n">
        <v>179</v>
      </c>
      <c r="G14" s="25" t="n">
        <v>-4.5</v>
      </c>
      <c r="H14" s="27" t="n">
        <f aca="false">IF(E14=0,0,MAX(0,NG-G14))</f>
        <v>3.8</v>
      </c>
      <c r="I14" s="8" t="n">
        <f aca="false">H14*E14+F14*(WS_STR*H14+SLOPE_STR*H14^2/2)+PI()*(WS_STR^2*H14+WS_STR*SLOPE_STR*H14^2+SLOPE_STR^2*H14^3/3)</f>
        <v>12518.8040530262</v>
      </c>
      <c r="J14" s="8" t="n">
        <f aca="false">MAX(0,I14-E14*H14)</f>
        <v>2828.04405302623</v>
      </c>
      <c r="K14" s="12" t="n">
        <v>2668.1</v>
      </c>
      <c r="L14" s="12" t="n">
        <v>213</v>
      </c>
      <c r="M14" s="23" t="s">
        <v>851</v>
      </c>
      <c r="N14" s="8" t="n">
        <f aca="false">L14</f>
        <v>213</v>
      </c>
    </row>
    <row r="15" customFormat="false" ht="15" hidden="false" customHeight="false" outlineLevel="0" collapsed="false">
      <c r="A15" s="23" t="s">
        <v>660</v>
      </c>
      <c r="B15" s="23" t="s">
        <v>671</v>
      </c>
      <c r="C15" s="23" t="s">
        <v>853</v>
      </c>
      <c r="D15" s="26" t="s">
        <v>850</v>
      </c>
      <c r="E15" s="12" t="n">
        <v>2550.3</v>
      </c>
      <c r="F15" s="12" t="n">
        <v>179</v>
      </c>
      <c r="G15" s="25" t="n">
        <v>-4.5</v>
      </c>
      <c r="H15" s="27" t="n">
        <f aca="false">IF(E15=0,0,MAX(0,NG-G15))</f>
        <v>3.8</v>
      </c>
      <c r="I15" s="8" t="n">
        <f aca="false">H15*E15+F15*(WS_STR*H15+SLOPE_STR*H15^2/2)+PI()*(WS_STR^2*H15+WS_STR*SLOPE_STR*H15^2+SLOPE_STR^2*H15^3/3)</f>
        <v>12519.1840530262</v>
      </c>
      <c r="J15" s="8" t="n">
        <f aca="false">MAX(0,I15-E15*H15)</f>
        <v>2828.04405302623</v>
      </c>
      <c r="K15" s="12" t="n">
        <v>2668.1</v>
      </c>
      <c r="L15" s="12" t="n">
        <v>213</v>
      </c>
      <c r="M15" s="23" t="s">
        <v>851</v>
      </c>
      <c r="N15" s="8" t="n">
        <f aca="false">L15</f>
        <v>213</v>
      </c>
    </row>
    <row r="16" customFormat="false" ht="15" hidden="false" customHeight="false" outlineLevel="0" collapsed="false">
      <c r="A16" s="23" t="s">
        <v>660</v>
      </c>
      <c r="B16" s="23" t="s">
        <v>672</v>
      </c>
      <c r="C16" s="23" t="s">
        <v>854</v>
      </c>
      <c r="D16" s="26" t="s">
        <v>850</v>
      </c>
      <c r="E16" s="12" t="n">
        <v>2550.3</v>
      </c>
      <c r="F16" s="12" t="n">
        <v>179</v>
      </c>
      <c r="G16" s="25" t="n">
        <v>-4.5</v>
      </c>
      <c r="H16" s="27" t="n">
        <f aca="false">IF(E16=0,0,MAX(0,NG-G16))</f>
        <v>3.8</v>
      </c>
      <c r="I16" s="8" t="n">
        <f aca="false">H16*E16+F16*(WS_STR*H16+SLOPE_STR*H16^2/2)+PI()*(WS_STR^2*H16+WS_STR*SLOPE_STR*H16^2+SLOPE_STR^2*H16^3/3)</f>
        <v>12519.1840530262</v>
      </c>
      <c r="J16" s="8" t="n">
        <f aca="false">MAX(0,I16-E16*H16)</f>
        <v>2828.04405302623</v>
      </c>
      <c r="K16" s="12" t="n">
        <v>2668.1</v>
      </c>
      <c r="L16" s="12" t="n">
        <v>213</v>
      </c>
      <c r="M16" s="23" t="s">
        <v>851</v>
      </c>
      <c r="N16" s="8" t="n">
        <f aca="false">L16</f>
        <v>213</v>
      </c>
    </row>
    <row r="17" customFormat="false" ht="15" hidden="false" customHeight="false" outlineLevel="0" collapsed="false">
      <c r="A17" s="23" t="s">
        <v>660</v>
      </c>
      <c r="B17" s="23" t="s">
        <v>673</v>
      </c>
      <c r="C17" s="23" t="s">
        <v>855</v>
      </c>
      <c r="D17" s="26" t="s">
        <v>850</v>
      </c>
      <c r="E17" s="12" t="n">
        <v>2550.2</v>
      </c>
      <c r="F17" s="12" t="n">
        <v>179</v>
      </c>
      <c r="G17" s="25" t="n">
        <v>-4.5</v>
      </c>
      <c r="H17" s="27" t="n">
        <f aca="false">IF(E17=0,0,MAX(0,NG-G17))</f>
        <v>3.8</v>
      </c>
      <c r="I17" s="8" t="n">
        <f aca="false">H17*E17+F17*(WS_STR*H17+SLOPE_STR*H17^2/2)+PI()*(WS_STR^2*H17+WS_STR*SLOPE_STR*H17^2+SLOPE_STR^2*H17^3/3)</f>
        <v>12518.8040530262</v>
      </c>
      <c r="J17" s="8" t="n">
        <f aca="false">MAX(0,I17-E17*H17)</f>
        <v>2828.04405302623</v>
      </c>
      <c r="K17" s="12" t="n">
        <v>2668.1</v>
      </c>
      <c r="L17" s="12" t="n">
        <v>213</v>
      </c>
      <c r="M17" s="23" t="s">
        <v>851</v>
      </c>
      <c r="N17" s="8" t="n">
        <f aca="false">L17</f>
        <v>213</v>
      </c>
    </row>
    <row r="18" customFormat="false" ht="15" hidden="false" customHeight="false" outlineLevel="0" collapsed="false">
      <c r="A18" s="23" t="s">
        <v>660</v>
      </c>
      <c r="B18" s="23" t="s">
        <v>674</v>
      </c>
      <c r="C18" s="23" t="s">
        <v>856</v>
      </c>
      <c r="D18" s="26" t="s">
        <v>850</v>
      </c>
      <c r="E18" s="12" t="n">
        <v>2550.3</v>
      </c>
      <c r="F18" s="12" t="n">
        <v>179</v>
      </c>
      <c r="G18" s="25" t="n">
        <v>-4.5</v>
      </c>
      <c r="H18" s="27" t="n">
        <f aca="false">IF(E18=0,0,MAX(0,NG-G18))</f>
        <v>3.8</v>
      </c>
      <c r="I18" s="8" t="n">
        <f aca="false">H18*E18+F18*(WS_STR*H18+SLOPE_STR*H18^2/2)+PI()*(WS_STR^2*H18+WS_STR*SLOPE_STR*H18^2+SLOPE_STR^2*H18^3/3)</f>
        <v>12519.1840530262</v>
      </c>
      <c r="J18" s="8" t="n">
        <f aca="false">MAX(0,I18-E18*H18)</f>
        <v>2828.04405302623</v>
      </c>
      <c r="K18" s="12" t="n">
        <v>2668.1</v>
      </c>
      <c r="L18" s="12" t="n">
        <v>213</v>
      </c>
      <c r="M18" s="23" t="s">
        <v>851</v>
      </c>
      <c r="N18" s="8" t="n">
        <f aca="false">L18</f>
        <v>213</v>
      </c>
    </row>
    <row r="19" customFormat="false" ht="15" hidden="false" customHeight="false" outlineLevel="0" collapsed="false">
      <c r="A19" s="23" t="s">
        <v>660</v>
      </c>
      <c r="B19" s="23" t="s">
        <v>675</v>
      </c>
      <c r="C19" s="23" t="s">
        <v>857</v>
      </c>
      <c r="D19" s="26" t="s">
        <v>850</v>
      </c>
      <c r="E19" s="12" t="n">
        <v>2550.3</v>
      </c>
      <c r="F19" s="12" t="n">
        <v>179</v>
      </c>
      <c r="G19" s="25" t="n">
        <v>-4.5</v>
      </c>
      <c r="H19" s="27" t="n">
        <f aca="false">IF(E19=0,0,MAX(0,NG-G19))</f>
        <v>3.8</v>
      </c>
      <c r="I19" s="8" t="n">
        <f aca="false">H19*E19+F19*(WS_STR*H19+SLOPE_STR*H19^2/2)+PI()*(WS_STR^2*H19+WS_STR*SLOPE_STR*H19^2+SLOPE_STR^2*H19^3/3)</f>
        <v>12519.1840530262</v>
      </c>
      <c r="J19" s="8" t="n">
        <f aca="false">MAX(0,I19-E19*H19)</f>
        <v>2828.04405302623</v>
      </c>
      <c r="K19" s="12" t="n">
        <v>2668.1</v>
      </c>
      <c r="L19" s="12" t="n">
        <v>213</v>
      </c>
      <c r="M19" s="23" t="s">
        <v>851</v>
      </c>
      <c r="N19" s="8" t="n">
        <f aca="false">L19</f>
        <v>213</v>
      </c>
    </row>
    <row r="20" customFormat="false" ht="15" hidden="false" customHeight="false" outlineLevel="0" collapsed="false">
      <c r="A20" s="23" t="s">
        <v>660</v>
      </c>
      <c r="B20" s="23" t="s">
        <v>676</v>
      </c>
      <c r="C20" s="23" t="s">
        <v>858</v>
      </c>
      <c r="D20" s="26" t="s">
        <v>850</v>
      </c>
      <c r="E20" s="12" t="n">
        <v>2550.3</v>
      </c>
      <c r="F20" s="12" t="n">
        <v>179</v>
      </c>
      <c r="G20" s="25" t="n">
        <v>-4.5</v>
      </c>
      <c r="H20" s="27" t="n">
        <f aca="false">IF(E20=0,0,MAX(0,NG-G20))</f>
        <v>3.8</v>
      </c>
      <c r="I20" s="8" t="n">
        <f aca="false">H20*E20+F20*(WS_STR*H20+SLOPE_STR*H20^2/2)+PI()*(WS_STR^2*H20+WS_STR*SLOPE_STR*H20^2+SLOPE_STR^2*H20^3/3)</f>
        <v>12519.1840530262</v>
      </c>
      <c r="J20" s="8" t="n">
        <f aca="false">MAX(0,I20-E20*H20)</f>
        <v>2828.04405302623</v>
      </c>
      <c r="K20" s="12" t="n">
        <v>2668.1</v>
      </c>
      <c r="L20" s="12" t="n">
        <v>213</v>
      </c>
      <c r="M20" s="23" t="s">
        <v>851</v>
      </c>
      <c r="N20" s="8" t="n">
        <f aca="false">L20</f>
        <v>213</v>
      </c>
    </row>
    <row r="21" customFormat="false" ht="15" hidden="false" customHeight="false" outlineLevel="0" collapsed="false">
      <c r="A21" s="23" t="s">
        <v>660</v>
      </c>
      <c r="B21" s="23" t="s">
        <v>677</v>
      </c>
      <c r="C21" s="23" t="s">
        <v>859</v>
      </c>
      <c r="D21" s="26" t="s">
        <v>850</v>
      </c>
      <c r="E21" s="12" t="n">
        <v>2550.4</v>
      </c>
      <c r="F21" s="12" t="n">
        <v>179</v>
      </c>
      <c r="G21" s="25" t="n">
        <v>-4.5</v>
      </c>
      <c r="H21" s="27" t="n">
        <f aca="false">IF(E21=0,0,MAX(0,NG-G21))</f>
        <v>3.8</v>
      </c>
      <c r="I21" s="8" t="n">
        <f aca="false">H21*E21+F21*(WS_STR*H21+SLOPE_STR*H21^2/2)+PI()*(WS_STR^2*H21+WS_STR*SLOPE_STR*H21^2+SLOPE_STR^2*H21^3/3)</f>
        <v>12519.5640530262</v>
      </c>
      <c r="J21" s="8" t="n">
        <f aca="false">MAX(0,I21-E21*H21)</f>
        <v>2828.04405302623</v>
      </c>
      <c r="K21" s="12" t="n">
        <v>2668.1</v>
      </c>
      <c r="L21" s="12" t="n">
        <v>213</v>
      </c>
      <c r="M21" s="23" t="s">
        <v>851</v>
      </c>
      <c r="N21" s="8" t="n">
        <f aca="false">L21</f>
        <v>213</v>
      </c>
    </row>
    <row r="22" customFormat="false" ht="15" hidden="false" customHeight="false" outlineLevel="0" collapsed="false">
      <c r="A22" s="23" t="s">
        <v>660</v>
      </c>
      <c r="B22" s="23" t="s">
        <v>678</v>
      </c>
      <c r="C22" s="23" t="s">
        <v>860</v>
      </c>
      <c r="D22" s="26" t="s">
        <v>850</v>
      </c>
      <c r="E22" s="12" t="n">
        <v>2550.2</v>
      </c>
      <c r="F22" s="12" t="n">
        <v>179</v>
      </c>
      <c r="G22" s="25" t="n">
        <v>-4.5</v>
      </c>
      <c r="H22" s="27" t="n">
        <f aca="false">IF(E22=0,0,MAX(0,NG-G22))</f>
        <v>3.8</v>
      </c>
      <c r="I22" s="8" t="n">
        <f aca="false">H22*E22+F22*(WS_STR*H22+SLOPE_STR*H22^2/2)+PI()*(WS_STR^2*H22+WS_STR*SLOPE_STR*H22^2+SLOPE_STR^2*H22^3/3)</f>
        <v>12518.8040530262</v>
      </c>
      <c r="J22" s="8" t="n">
        <f aca="false">MAX(0,I22-E22*H22)</f>
        <v>2828.04405302623</v>
      </c>
      <c r="K22" s="12" t="n">
        <v>2668.1</v>
      </c>
      <c r="L22" s="12" t="n">
        <v>213</v>
      </c>
      <c r="M22" s="23" t="s">
        <v>851</v>
      </c>
      <c r="N22" s="8" t="n">
        <f aca="false">L22</f>
        <v>213</v>
      </c>
    </row>
    <row r="23" customFormat="false" ht="15" hidden="false" customHeight="false" outlineLevel="0" collapsed="false">
      <c r="A23" s="23" t="s">
        <v>660</v>
      </c>
      <c r="B23" s="23" t="s">
        <v>679</v>
      </c>
      <c r="C23" s="23" t="s">
        <v>861</v>
      </c>
      <c r="D23" s="26" t="s">
        <v>850</v>
      </c>
      <c r="E23" s="12" t="n">
        <v>2550.3</v>
      </c>
      <c r="F23" s="12" t="n">
        <v>179</v>
      </c>
      <c r="G23" s="25" t="n">
        <v>-4.5</v>
      </c>
      <c r="H23" s="27" t="n">
        <f aca="false">IF(E23=0,0,MAX(0,NG-G23))</f>
        <v>3.8</v>
      </c>
      <c r="I23" s="8" t="n">
        <f aca="false">H23*E23+F23*(WS_STR*H23+SLOPE_STR*H23^2/2)+PI()*(WS_STR^2*H23+WS_STR*SLOPE_STR*H23^2+SLOPE_STR^2*H23^3/3)</f>
        <v>12519.1840530262</v>
      </c>
      <c r="J23" s="8" t="n">
        <f aca="false">MAX(0,I23-E23*H23)</f>
        <v>2828.04405302623</v>
      </c>
      <c r="K23" s="12" t="n">
        <v>2668.1</v>
      </c>
      <c r="L23" s="12" t="n">
        <v>213</v>
      </c>
      <c r="M23" s="23" t="s">
        <v>851</v>
      </c>
      <c r="N23" s="8" t="n">
        <f aca="false">L23</f>
        <v>213</v>
      </c>
    </row>
    <row r="24" customFormat="false" ht="15" hidden="false" customHeight="false" outlineLevel="0" collapsed="false">
      <c r="A24" s="23" t="s">
        <v>660</v>
      </c>
      <c r="B24" s="23" t="s">
        <v>680</v>
      </c>
      <c r="C24" s="23" t="s">
        <v>862</v>
      </c>
      <c r="D24" s="26" t="s">
        <v>850</v>
      </c>
      <c r="E24" s="12" t="n">
        <v>2550.3</v>
      </c>
      <c r="F24" s="12" t="n">
        <v>179</v>
      </c>
      <c r="G24" s="25" t="n">
        <v>-4.5</v>
      </c>
      <c r="H24" s="27" t="n">
        <f aca="false">IF(E24=0,0,MAX(0,NG-G24))</f>
        <v>3.8</v>
      </c>
      <c r="I24" s="8" t="n">
        <f aca="false">H24*E24+F24*(WS_STR*H24+SLOPE_STR*H24^2/2)+PI()*(WS_STR^2*H24+WS_STR*SLOPE_STR*H24^2+SLOPE_STR^2*H24^3/3)</f>
        <v>12519.1840530262</v>
      </c>
      <c r="J24" s="8" t="n">
        <f aca="false">MAX(0,I24-E24*H24)</f>
        <v>2828.04405302623</v>
      </c>
      <c r="K24" s="12" t="n">
        <v>2668.1</v>
      </c>
      <c r="L24" s="12" t="n">
        <v>213</v>
      </c>
      <c r="M24" s="23" t="s">
        <v>851</v>
      </c>
      <c r="N24" s="8" t="n">
        <f aca="false">L24</f>
        <v>213</v>
      </c>
    </row>
    <row r="25" customFormat="false" ht="15" hidden="false" customHeight="false" outlineLevel="0" collapsed="false">
      <c r="A25" s="23" t="s">
        <v>681</v>
      </c>
      <c r="B25" s="23" t="s">
        <v>682</v>
      </c>
      <c r="C25" s="23" t="s">
        <v>34</v>
      </c>
      <c r="D25" s="26" t="s">
        <v>839</v>
      </c>
      <c r="E25" s="12" t="n">
        <v>163.1</v>
      </c>
      <c r="F25" s="12" t="n">
        <v>59.3</v>
      </c>
      <c r="G25" s="25" t="n">
        <v>-9</v>
      </c>
      <c r="H25" s="27" t="n">
        <f aca="false">IF(E25=0,0,MAX(0,NG-G25))</f>
        <v>8.3</v>
      </c>
      <c r="I25" s="8" t="n">
        <f aca="false">H25*E25+F25*(WS_STR*H25+SLOPE_STR*H25^2/2)+PI()*(WS_STR^2*H25+WS_STR*SLOPE_STR*H25^2+SLOPE_STR^2*H25^3/3)</f>
        <v>6607.75582484711</v>
      </c>
      <c r="J25" s="8" t="n">
        <f aca="false">MAX(0,I25-E25*H25)</f>
        <v>5254.02582484711</v>
      </c>
      <c r="K25" s="12" t="n">
        <v>525.8</v>
      </c>
      <c r="L25" s="12" t="n">
        <v>0</v>
      </c>
      <c r="M25" s="23" t="s">
        <v>835</v>
      </c>
      <c r="N25" s="8" t="n">
        <f aca="false">ROUNDUP(MAX(E25,K25)*PILE_DENS,0)</f>
        <v>53</v>
      </c>
    </row>
    <row r="26" customFormat="false" ht="15" hidden="false" customHeight="false" outlineLevel="0" collapsed="false">
      <c r="A26" s="23" t="s">
        <v>686</v>
      </c>
      <c r="B26" s="23" t="s">
        <v>687</v>
      </c>
      <c r="C26" s="23" t="s">
        <v>36</v>
      </c>
      <c r="D26" s="26" t="s">
        <v>834</v>
      </c>
      <c r="E26" s="12" t="n">
        <v>3811.7</v>
      </c>
      <c r="F26" s="12" t="n">
        <v>263.9</v>
      </c>
      <c r="G26" s="25" t="n">
        <v>-6.6</v>
      </c>
      <c r="H26" s="27" t="n">
        <f aca="false">IF(E26=0,0,MAX(0,NG-G26))</f>
        <v>5.9</v>
      </c>
      <c r="I26" s="8" t="n">
        <f aca="false">H26*E26+F26*(WS_STR*H26+SLOPE_STR*H26^2/2)+PI()*(WS_STR^2*H26+WS_STR*SLOPE_STR*H26^2+SLOPE_STR^2*H26^3/3)</f>
        <v>31602.2957752646</v>
      </c>
      <c r="J26" s="8" t="n">
        <f aca="false">MAX(0,I26-E26*H26)</f>
        <v>9113.26577526458</v>
      </c>
      <c r="K26" s="12" t="n">
        <v>6762.2</v>
      </c>
      <c r="L26" s="12" t="n">
        <v>0</v>
      </c>
      <c r="M26" s="23" t="s">
        <v>835</v>
      </c>
      <c r="N26" s="8" t="n">
        <f aca="false">ROUNDUP(MAX(E26,K26)*PILE_DENS,0)</f>
        <v>677</v>
      </c>
    </row>
    <row r="27" customFormat="false" ht="15" hidden="false" customHeight="false" outlineLevel="0" collapsed="false">
      <c r="A27" s="23" t="s">
        <v>695</v>
      </c>
      <c r="B27" s="23" t="s">
        <v>696</v>
      </c>
      <c r="C27" s="23" t="s">
        <v>863</v>
      </c>
      <c r="D27" s="26" t="s">
        <v>864</v>
      </c>
      <c r="E27" s="12" t="n">
        <v>689.1</v>
      </c>
      <c r="F27" s="12" t="n">
        <v>103.7</v>
      </c>
      <c r="G27" s="25" t="n">
        <v>-6.5</v>
      </c>
      <c r="H27" s="27" t="n">
        <f aca="false">IF(E27=0,0,MAX(0,NG-G27))</f>
        <v>5.8</v>
      </c>
      <c r="I27" s="8" t="n">
        <f aca="false">H27*E27+F27*(WS_STR*H27+SLOPE_STR*H27^2/2)+PI()*(WS_STR^2*H27+WS_STR*SLOPE_STR*H27^2+SLOPE_STR^2*H27^3/3)</f>
        <v>7851.05882206137</v>
      </c>
      <c r="J27" s="8" t="n">
        <f aca="false">MAX(0,I27-E27*H27)</f>
        <v>3854.27882206137</v>
      </c>
      <c r="K27" s="12" t="n">
        <v>736.3</v>
      </c>
      <c r="L27" s="12" t="n">
        <v>0</v>
      </c>
      <c r="M27" s="23" t="s">
        <v>835</v>
      </c>
      <c r="N27" s="8" t="n">
        <f aca="false">ROUNDUP(MAX(E27,K27)*PILE_DENS,0)</f>
        <v>74</v>
      </c>
    </row>
    <row r="28" customFormat="false" ht="15" hidden="false" customHeight="false" outlineLevel="0" collapsed="false">
      <c r="A28" s="23" t="s">
        <v>707</v>
      </c>
      <c r="B28" s="23" t="s">
        <v>708</v>
      </c>
      <c r="C28" s="23" t="s">
        <v>40</v>
      </c>
      <c r="D28" s="26" t="s">
        <v>834</v>
      </c>
      <c r="E28" s="12" t="n">
        <v>0</v>
      </c>
      <c r="F28" s="12" t="n">
        <v>0</v>
      </c>
      <c r="G28" s="25" t="n">
        <v>-0.05</v>
      </c>
      <c r="H28" s="27" t="n">
        <f aca="false">IF(E28=0,0,MAX(0,NG-G28))</f>
        <v>0</v>
      </c>
      <c r="I28" s="8" t="n">
        <f aca="false">H28*E28+F28*(WS_STR*H28+SLOPE_STR*H28^2/2)+PI()*(WS_STR^2*H28+WS_STR*SLOPE_STR*H28^2+SLOPE_STR^2*H28^3/3)</f>
        <v>0</v>
      </c>
      <c r="J28" s="8" t="n">
        <f aca="false">MAX(0,I28-E28*H28)</f>
        <v>0</v>
      </c>
      <c r="K28" s="12" t="n">
        <v>413.4</v>
      </c>
      <c r="L28" s="12" t="n">
        <v>0</v>
      </c>
      <c r="M28" s="23" t="s">
        <v>835</v>
      </c>
      <c r="N28" s="8" t="n">
        <f aca="false">ROUNDUP(MAX(E28,K28)*PILE_DENS,0)</f>
        <v>42</v>
      </c>
    </row>
    <row r="29" customFormat="false" ht="15" hidden="false" customHeight="false" outlineLevel="0" collapsed="false">
      <c r="A29" s="23" t="s">
        <v>718</v>
      </c>
      <c r="B29" s="23" t="s">
        <v>719</v>
      </c>
      <c r="C29" s="23" t="s">
        <v>865</v>
      </c>
      <c r="D29" s="26" t="s">
        <v>866</v>
      </c>
      <c r="E29" s="12" t="n">
        <v>490.1</v>
      </c>
      <c r="F29" s="12" t="n">
        <v>78.5</v>
      </c>
      <c r="G29" s="25" t="n">
        <v>-1.37</v>
      </c>
      <c r="H29" s="27" t="n">
        <f aca="false">IF(E29=0,0,MAX(0,NG-G29))</f>
        <v>0.67</v>
      </c>
      <c r="I29" s="8" t="n">
        <f aca="false">H29*E29+F29*(WS_STR*H29+SLOPE_STR*H29^2/2)+PI()*(WS_STR^2*H29+WS_STR*SLOPE_STR*H29^2+SLOPE_STR^2*H29^3/3)</f>
        <v>412.319902114654</v>
      </c>
      <c r="J29" s="8" t="n">
        <f aca="false">MAX(0,I29-E29*H29)</f>
        <v>83.9529021146536</v>
      </c>
      <c r="K29" s="12" t="n">
        <v>508.8</v>
      </c>
      <c r="L29" s="12" t="n">
        <v>41</v>
      </c>
      <c r="M29" s="23" t="s">
        <v>844</v>
      </c>
      <c r="N29" s="8" t="n">
        <f aca="false">L29</f>
        <v>41</v>
      </c>
    </row>
    <row r="30" customFormat="false" ht="15" hidden="false" customHeight="false" outlineLevel="0" collapsed="false">
      <c r="A30" s="23" t="s">
        <v>718</v>
      </c>
      <c r="B30" s="23" t="s">
        <v>731</v>
      </c>
      <c r="C30" s="23" t="s">
        <v>867</v>
      </c>
      <c r="D30" s="26" t="s">
        <v>866</v>
      </c>
      <c r="E30" s="12" t="n">
        <v>490.1</v>
      </c>
      <c r="F30" s="12" t="n">
        <v>78.5</v>
      </c>
      <c r="G30" s="25" t="n">
        <v>-1.37</v>
      </c>
      <c r="H30" s="27" t="n">
        <f aca="false">IF(E30=0,0,MAX(0,NG-G30))</f>
        <v>0.67</v>
      </c>
      <c r="I30" s="8" t="n">
        <f aca="false">H30*E30+F30*(WS_STR*H30+SLOPE_STR*H30^2/2)+PI()*(WS_STR^2*H30+WS_STR*SLOPE_STR*H30^2+SLOPE_STR^2*H30^3/3)</f>
        <v>412.319902114654</v>
      </c>
      <c r="J30" s="8" t="n">
        <f aca="false">MAX(0,I30-E30*H30)</f>
        <v>83.9529021146536</v>
      </c>
      <c r="K30" s="12" t="n">
        <v>508.8</v>
      </c>
      <c r="L30" s="12" t="n">
        <v>41</v>
      </c>
      <c r="M30" s="23" t="s">
        <v>844</v>
      </c>
      <c r="N30" s="8" t="n">
        <f aca="false">L30</f>
        <v>41</v>
      </c>
    </row>
    <row r="31" customFormat="false" ht="15" hidden="false" customHeight="false" outlineLevel="0" collapsed="false">
      <c r="A31" s="23" t="s">
        <v>718</v>
      </c>
      <c r="B31" s="23" t="s">
        <v>732</v>
      </c>
      <c r="C31" s="23" t="s">
        <v>868</v>
      </c>
      <c r="D31" s="26" t="s">
        <v>866</v>
      </c>
      <c r="E31" s="12" t="n">
        <v>490.1</v>
      </c>
      <c r="F31" s="12" t="n">
        <v>78.5</v>
      </c>
      <c r="G31" s="25" t="n">
        <v>-1.37</v>
      </c>
      <c r="H31" s="27" t="n">
        <f aca="false">IF(E31=0,0,MAX(0,NG-G31))</f>
        <v>0.67</v>
      </c>
      <c r="I31" s="8" t="n">
        <f aca="false">H31*E31+F31*(WS_STR*H31+SLOPE_STR*H31^2/2)+PI()*(WS_STR^2*H31+WS_STR*SLOPE_STR*H31^2+SLOPE_STR^2*H31^3/3)</f>
        <v>412.319902114654</v>
      </c>
      <c r="J31" s="8" t="n">
        <f aca="false">MAX(0,I31-E31*H31)</f>
        <v>83.9529021146536</v>
      </c>
      <c r="K31" s="12" t="n">
        <v>508.8</v>
      </c>
      <c r="L31" s="12" t="n">
        <v>41</v>
      </c>
      <c r="M31" s="23" t="s">
        <v>844</v>
      </c>
      <c r="N31" s="8" t="n">
        <f aca="false">L31</f>
        <v>41</v>
      </c>
    </row>
    <row r="32" customFormat="false" ht="15" hidden="false" customHeight="false" outlineLevel="0" collapsed="false">
      <c r="A32" s="23" t="s">
        <v>718</v>
      </c>
      <c r="B32" s="23" t="s">
        <v>733</v>
      </c>
      <c r="C32" s="23" t="s">
        <v>869</v>
      </c>
      <c r="D32" s="26" t="s">
        <v>866</v>
      </c>
      <c r="E32" s="12" t="n">
        <v>490.1</v>
      </c>
      <c r="F32" s="12" t="n">
        <v>78.5</v>
      </c>
      <c r="G32" s="25" t="n">
        <v>-1.37</v>
      </c>
      <c r="H32" s="27" t="n">
        <f aca="false">IF(E32=0,0,MAX(0,NG-G32))</f>
        <v>0.67</v>
      </c>
      <c r="I32" s="8" t="n">
        <f aca="false">H32*E32+F32*(WS_STR*H32+SLOPE_STR*H32^2/2)+PI()*(WS_STR^2*H32+WS_STR*SLOPE_STR*H32^2+SLOPE_STR^2*H32^3/3)</f>
        <v>412.319902114654</v>
      </c>
      <c r="J32" s="8" t="n">
        <f aca="false">MAX(0,I32-E32*H32)</f>
        <v>83.9529021146536</v>
      </c>
      <c r="K32" s="12" t="n">
        <v>508.8</v>
      </c>
      <c r="L32" s="12" t="n">
        <v>41</v>
      </c>
      <c r="M32" s="23" t="s">
        <v>844</v>
      </c>
      <c r="N32" s="8" t="n">
        <f aca="false">L32</f>
        <v>41</v>
      </c>
    </row>
    <row r="33" customFormat="false" ht="15" hidden="false" customHeight="false" outlineLevel="0" collapsed="false">
      <c r="A33" s="23" t="s">
        <v>734</v>
      </c>
      <c r="B33" s="23" t="s">
        <v>735</v>
      </c>
      <c r="C33" s="23" t="s">
        <v>870</v>
      </c>
      <c r="D33" s="26" t="s">
        <v>871</v>
      </c>
      <c r="E33" s="12" t="n">
        <v>671</v>
      </c>
      <c r="F33" s="12" t="n">
        <v>92.3</v>
      </c>
      <c r="G33" s="25" t="n">
        <v>-1.79</v>
      </c>
      <c r="H33" s="27" t="n">
        <f aca="false">IF(E33=0,0,MAX(0,NG-G33))</f>
        <v>1.09</v>
      </c>
      <c r="I33" s="8" t="n">
        <f aca="false">H33*E33+F33*(WS_STR*H33+SLOPE_STR*H33^2/2)+PI()*(WS_STR^2*H33+WS_STR*SLOPE_STR*H33^2+SLOPE_STR^2*H33^3/3)</f>
        <v>926.317688034447</v>
      </c>
      <c r="J33" s="8" t="n">
        <f aca="false">MAX(0,I33-E33*H33)</f>
        <v>194.927688034447</v>
      </c>
      <c r="K33" s="12" t="n">
        <v>1325.2</v>
      </c>
      <c r="L33" s="12" t="n">
        <v>0</v>
      </c>
      <c r="M33" s="23" t="s">
        <v>835</v>
      </c>
      <c r="N33" s="8" t="n">
        <f aca="false">ROUNDUP(MAX(E33,K33)*PILE_DENS,0)</f>
        <v>133</v>
      </c>
    </row>
    <row r="34" customFormat="false" ht="15" hidden="false" customHeight="false" outlineLevel="0" collapsed="false">
      <c r="A34" s="23" t="s">
        <v>734</v>
      </c>
      <c r="B34" s="23" t="s">
        <v>744</v>
      </c>
      <c r="C34" s="23" t="s">
        <v>872</v>
      </c>
      <c r="D34" s="26" t="s">
        <v>871</v>
      </c>
      <c r="E34" s="12" t="n">
        <v>671</v>
      </c>
      <c r="F34" s="12" t="n">
        <v>92.3</v>
      </c>
      <c r="G34" s="25" t="n">
        <v>-1.79</v>
      </c>
      <c r="H34" s="27" t="n">
        <f aca="false">IF(E34=0,0,MAX(0,NG-G34))</f>
        <v>1.09</v>
      </c>
      <c r="I34" s="8" t="n">
        <f aca="false">H34*E34+F34*(WS_STR*H34+SLOPE_STR*H34^2/2)+PI()*(WS_STR^2*H34+WS_STR*SLOPE_STR*H34^2+SLOPE_STR^2*H34^3/3)</f>
        <v>926.317688034447</v>
      </c>
      <c r="J34" s="8" t="n">
        <f aca="false">MAX(0,I34-E34*H34)</f>
        <v>194.927688034447</v>
      </c>
      <c r="K34" s="12" t="n">
        <v>1325.2</v>
      </c>
      <c r="L34" s="12" t="n">
        <v>0</v>
      </c>
      <c r="M34" s="23" t="s">
        <v>835</v>
      </c>
      <c r="N34" s="8" t="n">
        <f aca="false">ROUNDUP(MAX(E34,K34)*PILE_DENS,0)</f>
        <v>133</v>
      </c>
    </row>
    <row r="35" customFormat="false" ht="15" hidden="false" customHeight="false" outlineLevel="0" collapsed="false">
      <c r="A35" s="23" t="s">
        <v>734</v>
      </c>
      <c r="B35" s="23" t="s">
        <v>745</v>
      </c>
      <c r="C35" s="23" t="s">
        <v>873</v>
      </c>
      <c r="D35" s="26" t="s">
        <v>871</v>
      </c>
      <c r="E35" s="12" t="n">
        <v>671</v>
      </c>
      <c r="F35" s="12" t="n">
        <v>92.3</v>
      </c>
      <c r="G35" s="25" t="n">
        <v>-1.79</v>
      </c>
      <c r="H35" s="27" t="n">
        <f aca="false">IF(E35=0,0,MAX(0,NG-G35))</f>
        <v>1.09</v>
      </c>
      <c r="I35" s="8" t="n">
        <f aca="false">H35*E35+F35*(WS_STR*H35+SLOPE_STR*H35^2/2)+PI()*(WS_STR^2*H35+WS_STR*SLOPE_STR*H35^2+SLOPE_STR^2*H35^3/3)</f>
        <v>926.317688034447</v>
      </c>
      <c r="J35" s="8" t="n">
        <f aca="false">MAX(0,I35-E35*H35)</f>
        <v>194.927688034447</v>
      </c>
      <c r="K35" s="12" t="n">
        <v>1325.2</v>
      </c>
      <c r="L35" s="12" t="n">
        <v>0</v>
      </c>
      <c r="M35" s="23" t="s">
        <v>835</v>
      </c>
      <c r="N35" s="8" t="n">
        <f aca="false">ROUNDUP(MAX(E35,K35)*PILE_DENS,0)</f>
        <v>133</v>
      </c>
    </row>
    <row r="36" customFormat="false" ht="15" hidden="false" customHeight="false" outlineLevel="0" collapsed="false">
      <c r="A36" s="23" t="s">
        <v>734</v>
      </c>
      <c r="B36" s="23" t="s">
        <v>746</v>
      </c>
      <c r="C36" s="23" t="s">
        <v>874</v>
      </c>
      <c r="D36" s="26" t="s">
        <v>871</v>
      </c>
      <c r="E36" s="12" t="n">
        <v>671</v>
      </c>
      <c r="F36" s="12" t="n">
        <v>92.3</v>
      </c>
      <c r="G36" s="25" t="n">
        <v>-1.79</v>
      </c>
      <c r="H36" s="27" t="n">
        <f aca="false">IF(E36=0,0,MAX(0,NG-G36))</f>
        <v>1.09</v>
      </c>
      <c r="I36" s="8" t="n">
        <f aca="false">H36*E36+F36*(WS_STR*H36+SLOPE_STR*H36^2/2)+PI()*(WS_STR^2*H36+WS_STR*SLOPE_STR*H36^2+SLOPE_STR^2*H36^3/3)</f>
        <v>926.317688034447</v>
      </c>
      <c r="J36" s="8" t="n">
        <f aca="false">MAX(0,I36-E36*H36)</f>
        <v>194.927688034447</v>
      </c>
      <c r="K36" s="12" t="n">
        <v>1325.2</v>
      </c>
      <c r="L36" s="12" t="n">
        <v>0</v>
      </c>
      <c r="M36" s="23" t="s">
        <v>835</v>
      </c>
      <c r="N36" s="8" t="n">
        <f aca="false">ROUNDUP(MAX(E36,K36)*PILE_DENS,0)</f>
        <v>133</v>
      </c>
    </row>
    <row r="37" customFormat="false" ht="15" hidden="false" customHeight="false" outlineLevel="0" collapsed="false">
      <c r="A37" s="23" t="s">
        <v>734</v>
      </c>
      <c r="B37" s="23" t="s">
        <v>747</v>
      </c>
      <c r="C37" s="23" t="s">
        <v>875</v>
      </c>
      <c r="D37" s="26" t="s">
        <v>871</v>
      </c>
      <c r="E37" s="12" t="n">
        <v>671</v>
      </c>
      <c r="F37" s="12" t="n">
        <v>92.3</v>
      </c>
      <c r="G37" s="25" t="n">
        <v>-1.79</v>
      </c>
      <c r="H37" s="27" t="n">
        <f aca="false">IF(E37=0,0,MAX(0,NG-G37))</f>
        <v>1.09</v>
      </c>
      <c r="I37" s="8" t="n">
        <f aca="false">H37*E37+F37*(WS_STR*H37+SLOPE_STR*H37^2/2)+PI()*(WS_STR^2*H37+WS_STR*SLOPE_STR*H37^2+SLOPE_STR^2*H37^3/3)</f>
        <v>926.317688034447</v>
      </c>
      <c r="J37" s="8" t="n">
        <f aca="false">MAX(0,I37-E37*H37)</f>
        <v>194.927688034447</v>
      </c>
      <c r="K37" s="12" t="n">
        <v>1325.2</v>
      </c>
      <c r="L37" s="12" t="n">
        <v>0</v>
      </c>
      <c r="M37" s="23" t="s">
        <v>835</v>
      </c>
      <c r="N37" s="8" t="n">
        <f aca="false">ROUNDUP(MAX(E37,K37)*PILE_DENS,0)</f>
        <v>133</v>
      </c>
    </row>
    <row r="38" customFormat="false" ht="15" hidden="false" customHeight="false" outlineLevel="0" collapsed="false">
      <c r="A38" s="23" t="s">
        <v>734</v>
      </c>
      <c r="B38" s="23" t="s">
        <v>748</v>
      </c>
      <c r="C38" s="23" t="s">
        <v>876</v>
      </c>
      <c r="D38" s="26" t="s">
        <v>871</v>
      </c>
      <c r="E38" s="12" t="n">
        <v>671</v>
      </c>
      <c r="F38" s="12" t="n">
        <v>92.3</v>
      </c>
      <c r="G38" s="25" t="n">
        <v>-1.79</v>
      </c>
      <c r="H38" s="27" t="n">
        <f aca="false">IF(E38=0,0,MAX(0,NG-G38))</f>
        <v>1.09</v>
      </c>
      <c r="I38" s="8" t="n">
        <f aca="false">H38*E38+F38*(WS_STR*H38+SLOPE_STR*H38^2/2)+PI()*(WS_STR^2*H38+WS_STR*SLOPE_STR*H38^2+SLOPE_STR^2*H38^3/3)</f>
        <v>926.317688034447</v>
      </c>
      <c r="J38" s="8" t="n">
        <f aca="false">MAX(0,I38-E38*H38)</f>
        <v>194.927688034447</v>
      </c>
      <c r="K38" s="12" t="n">
        <v>1325.2</v>
      </c>
      <c r="L38" s="12" t="n">
        <v>0</v>
      </c>
      <c r="M38" s="23" t="s">
        <v>835</v>
      </c>
      <c r="N38" s="8" t="n">
        <f aca="false">ROUNDUP(MAX(E38,K38)*PILE_DENS,0)</f>
        <v>133</v>
      </c>
    </row>
    <row r="39" customFormat="false" ht="15" hidden="false" customHeight="false" outlineLevel="0" collapsed="false">
      <c r="A39" s="23" t="s">
        <v>734</v>
      </c>
      <c r="B39" s="23" t="s">
        <v>749</v>
      </c>
      <c r="C39" s="23" t="s">
        <v>877</v>
      </c>
      <c r="D39" s="26" t="s">
        <v>871</v>
      </c>
      <c r="E39" s="12" t="n">
        <v>671</v>
      </c>
      <c r="F39" s="12" t="n">
        <v>92.3</v>
      </c>
      <c r="G39" s="25" t="n">
        <v>-1.79</v>
      </c>
      <c r="H39" s="27" t="n">
        <f aca="false">IF(E39=0,0,MAX(0,NG-G39))</f>
        <v>1.09</v>
      </c>
      <c r="I39" s="8" t="n">
        <f aca="false">H39*E39+F39*(WS_STR*H39+SLOPE_STR*H39^2/2)+PI()*(WS_STR^2*H39+WS_STR*SLOPE_STR*H39^2+SLOPE_STR^2*H39^3/3)</f>
        <v>926.317688034447</v>
      </c>
      <c r="J39" s="8" t="n">
        <f aca="false">MAX(0,I39-E39*H39)</f>
        <v>194.927688034447</v>
      </c>
      <c r="K39" s="12" t="n">
        <v>1325.2</v>
      </c>
      <c r="L39" s="12" t="n">
        <v>0</v>
      </c>
      <c r="M39" s="23" t="s">
        <v>835</v>
      </c>
      <c r="N39" s="8" t="n">
        <f aca="false">ROUNDUP(MAX(E39,K39)*PILE_DENS,0)</f>
        <v>133</v>
      </c>
    </row>
    <row r="40" customFormat="false" ht="15" hidden="false" customHeight="false" outlineLevel="0" collapsed="false">
      <c r="A40" s="23" t="s">
        <v>734</v>
      </c>
      <c r="B40" s="23" t="s">
        <v>750</v>
      </c>
      <c r="C40" s="23" t="s">
        <v>878</v>
      </c>
      <c r="D40" s="26" t="s">
        <v>871</v>
      </c>
      <c r="E40" s="12" t="n">
        <v>671</v>
      </c>
      <c r="F40" s="12" t="n">
        <v>92.3</v>
      </c>
      <c r="G40" s="25" t="n">
        <v>-1.79</v>
      </c>
      <c r="H40" s="27" t="n">
        <f aca="false">IF(E40=0,0,MAX(0,NG-G40))</f>
        <v>1.09</v>
      </c>
      <c r="I40" s="8" t="n">
        <f aca="false">H40*E40+F40*(WS_STR*H40+SLOPE_STR*H40^2/2)+PI()*(WS_STR^2*H40+WS_STR*SLOPE_STR*H40^2+SLOPE_STR^2*H40^3/3)</f>
        <v>926.317688034447</v>
      </c>
      <c r="J40" s="8" t="n">
        <f aca="false">MAX(0,I40-E40*H40)</f>
        <v>194.927688034447</v>
      </c>
      <c r="K40" s="12" t="n">
        <v>1325.2</v>
      </c>
      <c r="L40" s="12" t="n">
        <v>0</v>
      </c>
      <c r="M40" s="23" t="s">
        <v>835</v>
      </c>
      <c r="N40" s="8" t="n">
        <f aca="false">ROUNDUP(MAX(E40,K40)*PILE_DENS,0)</f>
        <v>133</v>
      </c>
    </row>
    <row r="41" customFormat="false" ht="15" hidden="false" customHeight="false" outlineLevel="0" collapsed="false">
      <c r="A41" s="23" t="s">
        <v>751</v>
      </c>
      <c r="B41" s="23" t="s">
        <v>752</v>
      </c>
      <c r="C41" s="23" t="s">
        <v>879</v>
      </c>
      <c r="D41" s="26" t="s">
        <v>880</v>
      </c>
      <c r="E41" s="12" t="n">
        <v>452.4</v>
      </c>
      <c r="F41" s="12" t="n">
        <v>75.4</v>
      </c>
      <c r="G41" s="25" t="n">
        <v>-1.5</v>
      </c>
      <c r="H41" s="27" t="n">
        <f aca="false">IF(E41=0,0,MAX(0,NG-G41))</f>
        <v>0.8</v>
      </c>
      <c r="I41" s="8" t="n">
        <f aca="false">H41*E41+F41*(WS_STR*H41+SLOPE_STR*H41^2/2)+PI()*(WS_STR^2*H41+WS_STR*SLOPE_STR*H41^2+SLOPE_STR^2*H41^3/3)</f>
        <v>465.167574649297</v>
      </c>
      <c r="J41" s="8" t="n">
        <f aca="false">MAX(0,I41-E41*H41)</f>
        <v>103.247574649297</v>
      </c>
      <c r="K41" s="12" t="n">
        <v>452.4</v>
      </c>
      <c r="L41" s="12" t="n">
        <v>0</v>
      </c>
      <c r="M41" s="23" t="s">
        <v>835</v>
      </c>
      <c r="N41" s="8" t="n">
        <f aca="false">ROUNDUP(MAX(E41,K41)*PILE_DENS,0)</f>
        <v>46</v>
      </c>
    </row>
    <row r="42" customFormat="false" ht="15" hidden="false" customHeight="false" outlineLevel="0" collapsed="false">
      <c r="A42" s="23" t="s">
        <v>751</v>
      </c>
      <c r="B42" s="23" t="s">
        <v>754</v>
      </c>
      <c r="C42" s="23" t="s">
        <v>881</v>
      </c>
      <c r="D42" s="26" t="s">
        <v>880</v>
      </c>
      <c r="E42" s="12" t="n">
        <v>452.4</v>
      </c>
      <c r="F42" s="12" t="n">
        <v>75.4</v>
      </c>
      <c r="G42" s="25" t="n">
        <v>-1.5</v>
      </c>
      <c r="H42" s="27" t="n">
        <f aca="false">IF(E42=0,0,MAX(0,NG-G42))</f>
        <v>0.8</v>
      </c>
      <c r="I42" s="8" t="n">
        <f aca="false">H42*E42+F42*(WS_STR*H42+SLOPE_STR*H42^2/2)+PI()*(WS_STR^2*H42+WS_STR*SLOPE_STR*H42^2+SLOPE_STR^2*H42^3/3)</f>
        <v>465.167574649297</v>
      </c>
      <c r="J42" s="8" t="n">
        <f aca="false">MAX(0,I42-E42*H42)</f>
        <v>103.247574649297</v>
      </c>
      <c r="K42" s="12" t="n">
        <v>452.4</v>
      </c>
      <c r="L42" s="12" t="n">
        <v>0</v>
      </c>
      <c r="M42" s="23" t="s">
        <v>835</v>
      </c>
      <c r="N42" s="8" t="n">
        <f aca="false">ROUNDUP(MAX(E42,K42)*PILE_DENS,0)</f>
        <v>46</v>
      </c>
    </row>
    <row r="43" customFormat="false" ht="15" hidden="false" customHeight="false" outlineLevel="0" collapsed="false">
      <c r="A43" s="23" t="s">
        <v>751</v>
      </c>
      <c r="B43" s="23" t="s">
        <v>755</v>
      </c>
      <c r="C43" s="23" t="s">
        <v>882</v>
      </c>
      <c r="D43" s="26" t="s">
        <v>880</v>
      </c>
      <c r="E43" s="12" t="n">
        <v>452.4</v>
      </c>
      <c r="F43" s="12" t="n">
        <v>75.4</v>
      </c>
      <c r="G43" s="25" t="n">
        <v>-1.5</v>
      </c>
      <c r="H43" s="27" t="n">
        <f aca="false">IF(E43=0,0,MAX(0,NG-G43))</f>
        <v>0.8</v>
      </c>
      <c r="I43" s="8" t="n">
        <f aca="false">H43*E43+F43*(WS_STR*H43+SLOPE_STR*H43^2/2)+PI()*(WS_STR^2*H43+WS_STR*SLOPE_STR*H43^2+SLOPE_STR^2*H43^3/3)</f>
        <v>465.167574649297</v>
      </c>
      <c r="J43" s="8" t="n">
        <f aca="false">MAX(0,I43-E43*H43)</f>
        <v>103.247574649297</v>
      </c>
      <c r="K43" s="12" t="n">
        <v>452.4</v>
      </c>
      <c r="L43" s="12" t="n">
        <v>0</v>
      </c>
      <c r="M43" s="23" t="s">
        <v>835</v>
      </c>
      <c r="N43" s="8" t="n">
        <f aca="false">ROUNDUP(MAX(E43,K43)*PILE_DENS,0)</f>
        <v>46</v>
      </c>
    </row>
    <row r="44" customFormat="false" ht="15" hidden="false" customHeight="false" outlineLevel="0" collapsed="false">
      <c r="A44" s="23" t="s">
        <v>751</v>
      </c>
      <c r="B44" s="23" t="s">
        <v>756</v>
      </c>
      <c r="C44" s="23" t="s">
        <v>883</v>
      </c>
      <c r="D44" s="26" t="s">
        <v>880</v>
      </c>
      <c r="E44" s="12" t="n">
        <v>452.4</v>
      </c>
      <c r="F44" s="12" t="n">
        <v>75.4</v>
      </c>
      <c r="G44" s="25" t="n">
        <v>-1.5</v>
      </c>
      <c r="H44" s="27" t="n">
        <f aca="false">IF(E44=0,0,MAX(0,NG-G44))</f>
        <v>0.8</v>
      </c>
      <c r="I44" s="8" t="n">
        <f aca="false">H44*E44+F44*(WS_STR*H44+SLOPE_STR*H44^2/2)+PI()*(WS_STR^2*H44+WS_STR*SLOPE_STR*H44^2+SLOPE_STR^2*H44^3/3)</f>
        <v>465.167574649297</v>
      </c>
      <c r="J44" s="8" t="n">
        <f aca="false">MAX(0,I44-E44*H44)</f>
        <v>103.247574649297</v>
      </c>
      <c r="K44" s="12" t="n">
        <v>452.4</v>
      </c>
      <c r="L44" s="12" t="n">
        <v>0</v>
      </c>
      <c r="M44" s="23" t="s">
        <v>835</v>
      </c>
      <c r="N44" s="8" t="n">
        <f aca="false">ROUNDUP(MAX(E44,K44)*PILE_DENS,0)</f>
        <v>46</v>
      </c>
    </row>
    <row r="45" customFormat="false" ht="15" hidden="false" customHeight="false" outlineLevel="0" collapsed="false">
      <c r="A45" s="23" t="s">
        <v>757</v>
      </c>
      <c r="B45" s="23" t="s">
        <v>758</v>
      </c>
      <c r="C45" s="23" t="s">
        <v>884</v>
      </c>
      <c r="D45" s="26" t="s">
        <v>885</v>
      </c>
      <c r="E45" s="12" t="n">
        <v>59.3</v>
      </c>
      <c r="F45" s="12" t="n">
        <v>32.2</v>
      </c>
      <c r="G45" s="25" t="n">
        <v>-1.5</v>
      </c>
      <c r="H45" s="27" t="n">
        <f aca="false">IF(E45=0,0,MAX(0,NG-G45))</f>
        <v>0.8</v>
      </c>
      <c r="I45" s="8" t="n">
        <f aca="false">H45*E45+F45*(WS_STR*H45+SLOPE_STR*H45^2/2)+PI()*(WS_STR^2*H45+WS_STR*SLOPE_STR*H45^2+SLOPE_STR^2*H45^3/3)</f>
        <v>95.3915746492965</v>
      </c>
      <c r="J45" s="8" t="n">
        <f aca="false">MAX(0,I45-E45*H45)</f>
        <v>47.9515746492965</v>
      </c>
      <c r="K45" s="12" t="n">
        <v>64.1</v>
      </c>
      <c r="L45" s="12" t="n">
        <v>0</v>
      </c>
      <c r="M45" s="23" t="s">
        <v>835</v>
      </c>
      <c r="N45" s="8" t="n">
        <f aca="false">ROUNDUP(MAX(E45,K45)*PILE_DENS,0)</f>
        <v>7</v>
      </c>
    </row>
    <row r="46" customFormat="false" ht="15" hidden="false" customHeight="false" outlineLevel="0" collapsed="false">
      <c r="A46" s="23" t="s">
        <v>763</v>
      </c>
      <c r="B46" s="23" t="s">
        <v>764</v>
      </c>
      <c r="C46" s="23" t="s">
        <v>886</v>
      </c>
      <c r="D46" s="26" t="s">
        <v>887</v>
      </c>
      <c r="E46" s="12" t="n">
        <v>513.1</v>
      </c>
      <c r="F46" s="12" t="n">
        <v>95</v>
      </c>
      <c r="G46" s="25" t="n">
        <v>-2</v>
      </c>
      <c r="H46" s="27" t="n">
        <f aca="false">IF(E46=0,0,MAX(0,NG-G46))</f>
        <v>1.3</v>
      </c>
      <c r="I46" s="8" t="n">
        <f aca="false">H46*E46+F46*(WS_STR*H46+SLOPE_STR*H46^2/2)+PI()*(WS_STR^2*H46+WS_STR*SLOPE_STR*H46^2+SLOPE_STR^2*H46^3/3)</f>
        <v>928.16706712147</v>
      </c>
      <c r="J46" s="8" t="n">
        <f aca="false">MAX(0,I46-E46*H46)</f>
        <v>261.13706712147</v>
      </c>
      <c r="K46" s="12" t="n">
        <v>602.4</v>
      </c>
      <c r="L46" s="12" t="n">
        <v>0</v>
      </c>
      <c r="M46" s="23" t="s">
        <v>835</v>
      </c>
      <c r="N46" s="8" t="n">
        <f aca="false">ROUNDUP(MAX(E46,K46)*PILE_DENS,0)</f>
        <v>61</v>
      </c>
    </row>
    <row r="47" customFormat="false" ht="15" hidden="false" customHeight="false" outlineLevel="0" collapsed="false">
      <c r="A47" s="23" t="s">
        <v>763</v>
      </c>
      <c r="B47" s="23" t="s">
        <v>769</v>
      </c>
      <c r="C47" s="23" t="s">
        <v>888</v>
      </c>
      <c r="D47" s="26" t="s">
        <v>887</v>
      </c>
      <c r="E47" s="12" t="n">
        <v>513</v>
      </c>
      <c r="F47" s="12" t="n">
        <v>95</v>
      </c>
      <c r="G47" s="25" t="n">
        <v>-2</v>
      </c>
      <c r="H47" s="27" t="n">
        <f aca="false">IF(E47=0,0,MAX(0,NG-G47))</f>
        <v>1.3</v>
      </c>
      <c r="I47" s="8" t="n">
        <f aca="false">H47*E47+F47*(WS_STR*H47+SLOPE_STR*H47^2/2)+PI()*(WS_STR^2*H47+WS_STR*SLOPE_STR*H47^2+SLOPE_STR^2*H47^3/3)</f>
        <v>928.03706712147</v>
      </c>
      <c r="J47" s="8" t="n">
        <f aca="false">MAX(0,I47-E47*H47)</f>
        <v>261.13706712147</v>
      </c>
      <c r="K47" s="12" t="n">
        <v>602.4</v>
      </c>
      <c r="L47" s="12" t="n">
        <v>0</v>
      </c>
      <c r="M47" s="23" t="s">
        <v>835</v>
      </c>
      <c r="N47" s="8" t="n">
        <f aca="false">ROUNDUP(MAX(E47,K47)*PILE_DENS,0)</f>
        <v>61</v>
      </c>
    </row>
    <row r="48" customFormat="false" ht="15" hidden="false" customHeight="false" outlineLevel="0" collapsed="false">
      <c r="A48" s="23" t="s">
        <v>770</v>
      </c>
      <c r="B48" s="23" t="s">
        <v>771</v>
      </c>
      <c r="C48" s="23" t="s">
        <v>889</v>
      </c>
      <c r="D48" s="26" t="s">
        <v>890</v>
      </c>
      <c r="E48" s="12" t="n">
        <v>24.2</v>
      </c>
      <c r="F48" s="12" t="n">
        <v>20.6</v>
      </c>
      <c r="G48" s="25" t="n">
        <v>-3.9</v>
      </c>
      <c r="H48" s="27" t="n">
        <f aca="false">IF(E48=0,0,MAX(0,NG-G48))</f>
        <v>3.2</v>
      </c>
      <c r="I48" s="8" t="n">
        <f aca="false">H48*E48+F48*(WS_STR*H48+SLOPE_STR*H48^2/2)+PI()*(WS_STR^2*H48+WS_STR*SLOPE_STR*H48^2+SLOPE_STR^2*H48^3/3)</f>
        <v>437.083740705249</v>
      </c>
      <c r="J48" s="8" t="n">
        <f aca="false">MAX(0,I48-E48*H48)</f>
        <v>359.643740705249</v>
      </c>
      <c r="K48" s="12" t="n">
        <v>23</v>
      </c>
      <c r="L48" s="12" t="n">
        <v>0</v>
      </c>
      <c r="M48" s="23" t="s">
        <v>835</v>
      </c>
      <c r="N48" s="8" t="n">
        <f aca="false">ROUNDUP(MAX(E48,K48)*PILE_DENS,0)</f>
        <v>3</v>
      </c>
    </row>
    <row r="49" customFormat="false" ht="15" hidden="false" customHeight="false" outlineLevel="0" collapsed="false">
      <c r="A49" s="23" t="s">
        <v>777</v>
      </c>
      <c r="B49" s="23" t="s">
        <v>778</v>
      </c>
      <c r="C49" s="23" t="s">
        <v>891</v>
      </c>
      <c r="D49" s="26" t="s">
        <v>890</v>
      </c>
      <c r="E49" s="12" t="n">
        <v>24.2</v>
      </c>
      <c r="F49" s="12" t="n">
        <v>20.6</v>
      </c>
      <c r="G49" s="25" t="n">
        <v>-5.4</v>
      </c>
      <c r="H49" s="27" t="n">
        <f aca="false">IF(E49=0,0,MAX(0,NG-G49))</f>
        <v>4.7</v>
      </c>
      <c r="I49" s="8" t="n">
        <f aca="false">H49*E49+F49*(WS_STR*H49+SLOPE_STR*H49^2/2)+PI()*(WS_STR^2*H49+WS_STR*SLOPE_STR*H49^2+SLOPE_STR^2*H49^3/3)</f>
        <v>915.33983860381</v>
      </c>
      <c r="J49" s="8" t="n">
        <f aca="false">MAX(0,I49-E49*H49)</f>
        <v>801.59983860381</v>
      </c>
      <c r="K49" s="12" t="n">
        <v>23</v>
      </c>
      <c r="L49" s="12" t="n">
        <v>0</v>
      </c>
      <c r="M49" s="23" t="s">
        <v>835</v>
      </c>
      <c r="N49" s="8" t="n">
        <f aca="false">ROUNDUP(MAX(E49,K49)*PILE_DENS,0)</f>
        <v>3</v>
      </c>
    </row>
    <row r="50" customFormat="false" ht="15" hidden="false" customHeight="false" outlineLevel="0" collapsed="false">
      <c r="A50" s="23" t="s">
        <v>783</v>
      </c>
      <c r="B50" s="23" t="s">
        <v>784</v>
      </c>
      <c r="C50" s="23" t="s">
        <v>892</v>
      </c>
      <c r="D50" s="26" t="s">
        <v>890</v>
      </c>
      <c r="E50" s="12" t="n">
        <v>0</v>
      </c>
      <c r="F50" s="12" t="n">
        <v>0</v>
      </c>
      <c r="G50" s="25" t="n">
        <v>0.7</v>
      </c>
      <c r="H50" s="27" t="n">
        <f aca="false">IF(E50=0,0,MAX(0,NG-G50))</f>
        <v>0</v>
      </c>
      <c r="I50" s="8" t="n">
        <f aca="false">H50*E50+F50*(WS_STR*H50+SLOPE_STR*H50^2/2)+PI()*(WS_STR^2*H50+WS_STR*SLOPE_STR*H50^2+SLOPE_STR^2*H50^3/3)</f>
        <v>0</v>
      </c>
      <c r="J50" s="8" t="n">
        <f aca="false">MAX(0,I50-E50*H50)</f>
        <v>0</v>
      </c>
      <c r="K50" s="12" t="n">
        <v>2248.4</v>
      </c>
      <c r="L50" s="12" t="n">
        <v>0</v>
      </c>
      <c r="M50" s="23" t="s">
        <v>835</v>
      </c>
      <c r="N50" s="8" t="n">
        <f aca="false">ROUNDUP(MAX(E50,K50)*PILE_DENS,0)</f>
        <v>225</v>
      </c>
    </row>
    <row r="51" customFormat="false" ht="15" hidden="false" customHeight="false" outlineLevel="0" collapsed="false">
      <c r="A51" s="23" t="s">
        <v>792</v>
      </c>
      <c r="B51" s="23" t="s">
        <v>793</v>
      </c>
      <c r="C51" s="23" t="s">
        <v>893</v>
      </c>
      <c r="D51" s="26" t="s">
        <v>894</v>
      </c>
      <c r="E51" s="12" t="n">
        <v>0</v>
      </c>
      <c r="F51" s="12" t="n">
        <v>0</v>
      </c>
      <c r="G51" s="25" t="n">
        <v>1</v>
      </c>
      <c r="H51" s="27" t="n">
        <f aca="false">IF(E51=0,0,MAX(0,NG-G51))</f>
        <v>0</v>
      </c>
      <c r="I51" s="8" t="n">
        <f aca="false">H51*E51+F51*(WS_STR*H51+SLOPE_STR*H51^2/2)+PI()*(WS_STR^2*H51+WS_STR*SLOPE_STR*H51^2+SLOPE_STR^2*H51^3/3)</f>
        <v>0</v>
      </c>
      <c r="J51" s="8" t="n">
        <f aca="false">MAX(0,I51-E51*H51)</f>
        <v>0</v>
      </c>
      <c r="K51" s="12" t="n">
        <v>1232</v>
      </c>
      <c r="L51" s="12" t="n">
        <v>0</v>
      </c>
      <c r="M51" s="23" t="s">
        <v>835</v>
      </c>
      <c r="N51" s="8" t="n">
        <f aca="false">ROUNDUP(MAX(E51,K51)*PILE_DENS,0)</f>
        <v>124</v>
      </c>
    </row>
    <row r="52" customFormat="false" ht="15" hidden="false" customHeight="false" outlineLevel="0" collapsed="false">
      <c r="A52" s="23" t="s">
        <v>795</v>
      </c>
      <c r="B52" s="23" t="s">
        <v>796</v>
      </c>
      <c r="C52" s="23" t="s">
        <v>895</v>
      </c>
      <c r="D52" s="26" t="s">
        <v>890</v>
      </c>
      <c r="E52" s="12" t="n">
        <v>838.2</v>
      </c>
      <c r="F52" s="12" t="n">
        <v>115</v>
      </c>
      <c r="G52" s="25" t="n">
        <v>-1.2</v>
      </c>
      <c r="H52" s="27" t="n">
        <f aca="false">IF(E52=0,0,MAX(0,NG-G52))</f>
        <v>0.5</v>
      </c>
      <c r="I52" s="8" t="n">
        <f aca="false">H52*E52+F52*(WS_STR*H52+SLOPE_STR*H52^2/2)+PI()*(WS_STR^2*H52+WS_STR*SLOPE_STR*H52^2+SLOPE_STR^2*H52^3/3)</f>
        <v>501.205917883165</v>
      </c>
      <c r="J52" s="8" t="n">
        <f aca="false">MAX(0,I52-E52*H52)</f>
        <v>82.1059178831651</v>
      </c>
      <c r="K52" s="12" t="n">
        <v>1717.7</v>
      </c>
      <c r="L52" s="12" t="n">
        <v>0</v>
      </c>
      <c r="M52" s="23" t="s">
        <v>835</v>
      </c>
      <c r="N52" s="8" t="n">
        <f aca="false">ROUNDUP(MAX(E52,K52)*PILE_DENS,0)</f>
        <v>172</v>
      </c>
    </row>
    <row r="53" customFormat="false" ht="15" hidden="false" customHeight="false" outlineLevel="0" collapsed="false">
      <c r="A53" s="23" t="s">
        <v>802</v>
      </c>
      <c r="B53" s="23" t="s">
        <v>803</v>
      </c>
      <c r="C53" s="23" t="s">
        <v>896</v>
      </c>
      <c r="D53" s="26" t="s">
        <v>890</v>
      </c>
      <c r="E53" s="12" t="n">
        <v>1000.5</v>
      </c>
      <c r="F53" s="12" t="n">
        <v>127.4</v>
      </c>
      <c r="G53" s="25" t="n">
        <v>-1.9</v>
      </c>
      <c r="H53" s="27" t="n">
        <f aca="false">IF(E53=0,0,MAX(0,NG-G53))</f>
        <v>1.2</v>
      </c>
      <c r="I53" s="8" t="n">
        <f aca="false">H53*E53+F53*(WS_STR*H53+SLOPE_STR*H53^2/2)+PI()*(WS_STR^2*H53+WS_STR*SLOPE_STR*H53^2+SLOPE_STR^2*H53^3/3)</f>
        <v>1505.69925539511</v>
      </c>
      <c r="J53" s="8" t="n">
        <f aca="false">MAX(0,I53-E53*H53)</f>
        <v>305.099255395114</v>
      </c>
      <c r="K53" s="12" t="n">
        <v>1135.4</v>
      </c>
      <c r="L53" s="12" t="n">
        <v>0</v>
      </c>
      <c r="M53" s="23" t="s">
        <v>835</v>
      </c>
      <c r="N53" s="8" t="n">
        <f aca="false">ROUNDUP(MAX(E53,K53)*PILE_DENS,0)</f>
        <v>114</v>
      </c>
    </row>
    <row r="54" customFormat="false" ht="15" hidden="false" customHeight="false" outlineLevel="0" collapsed="false">
      <c r="A54" s="23" t="s">
        <v>808</v>
      </c>
      <c r="B54" s="23" t="s">
        <v>809</v>
      </c>
      <c r="C54" s="23" t="s">
        <v>897</v>
      </c>
      <c r="D54" s="26" t="s">
        <v>890</v>
      </c>
      <c r="E54" s="12" t="n">
        <v>261.4</v>
      </c>
      <c r="F54" s="12" t="n">
        <v>72.9</v>
      </c>
      <c r="G54" s="25" t="n">
        <v>-2.1</v>
      </c>
      <c r="H54" s="27" t="n">
        <f aca="false">IF(E54=0,0,MAX(0,NG-G54))</f>
        <v>1.4</v>
      </c>
      <c r="I54" s="8" t="n">
        <f aca="false">H54*E54+F54*(WS_STR*H54+SLOPE_STR*H54^2/2)+PI()*(WS_STR^2*H54+WS_STR*SLOPE_STR*H54^2+SLOPE_STR^2*H54^3/3)</f>
        <v>595.282909797668</v>
      </c>
      <c r="J54" s="8" t="n">
        <f aca="false">MAX(0,I54-E54*H54)</f>
        <v>229.322909797667</v>
      </c>
      <c r="K54" s="12" t="n">
        <v>321.1</v>
      </c>
      <c r="L54" s="12" t="n">
        <v>0</v>
      </c>
      <c r="M54" s="23" t="s">
        <v>835</v>
      </c>
      <c r="N54" s="8" t="n">
        <f aca="false">ROUNDUP(MAX(E54,K54)*PILE_DENS,0)</f>
        <v>33</v>
      </c>
    </row>
    <row r="55" customFormat="false" ht="15" hidden="false" customHeight="false" outlineLevel="0" collapsed="false">
      <c r="A55" s="23" t="s">
        <v>815</v>
      </c>
      <c r="B55" s="23" t="s">
        <v>816</v>
      </c>
      <c r="C55" s="23" t="s">
        <v>898</v>
      </c>
      <c r="D55" s="26" t="s">
        <v>890</v>
      </c>
      <c r="E55" s="12" t="n">
        <v>0</v>
      </c>
      <c r="F55" s="12" t="n">
        <v>0</v>
      </c>
      <c r="G55" s="25" t="n">
        <v>-0.3</v>
      </c>
      <c r="H55" s="27" t="n">
        <f aca="false">IF(E55=0,0,MAX(0,NG-G55))</f>
        <v>0</v>
      </c>
      <c r="I55" s="8" t="n">
        <f aca="false">H55*E55+F55*(WS_STR*H55+SLOPE_STR*H55^2/2)+PI()*(WS_STR^2*H55+WS_STR*SLOPE_STR*H55^2+SLOPE_STR^2*H55^3/3)</f>
        <v>0</v>
      </c>
      <c r="J55" s="8" t="n">
        <f aca="false">MAX(0,I55-E55*H55)</f>
        <v>0</v>
      </c>
      <c r="K55" s="12" t="n">
        <v>181.4</v>
      </c>
      <c r="L55" s="12" t="n">
        <v>0</v>
      </c>
      <c r="M55" s="23" t="s">
        <v>835</v>
      </c>
      <c r="N55" s="8" t="n">
        <f aca="false">ROUNDUP(MAX(E55,K55)*PILE_DENS,0)</f>
        <v>19</v>
      </c>
    </row>
    <row r="56" customFormat="false" ht="15" hidden="false" customHeight="false" outlineLevel="0" collapsed="false">
      <c r="C56" s="6" t="s">
        <v>899</v>
      </c>
      <c r="E56" s="10" t="n">
        <f aca="false">SUM(E5:E55)</f>
        <v>89852.9</v>
      </c>
      <c r="I56" s="10" t="n">
        <f aca="false">SUM(I5:I55)</f>
        <v>376654.05865172</v>
      </c>
      <c r="J56" s="10" t="n">
        <f aca="false">SUM(J5:J55)</f>
        <v>87172.9006517199</v>
      </c>
      <c r="L56" s="10" t="n">
        <f aca="false">SUM(L5:L55)</f>
        <v>6392</v>
      </c>
      <c r="N56" s="10" t="n">
        <f aca="false">SUM(N5:N55)</f>
        <v>10206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15" min="8" style="0" width="8"/>
    <col collapsed="false" customWidth="true" hidden="false" outlineLevel="0" max="18" min="16" style="0" width="11"/>
    <col collapsed="false" customWidth="true" hidden="false" outlineLevel="0" max="21" min="19" style="0" width="10"/>
    <col collapsed="false" customWidth="true" hidden="false" outlineLevel="0" max="23" min="22" style="0" width="11"/>
    <col collapsed="false" customWidth="true" hidden="false" outlineLevel="0" max="25" min="24" style="0" width="10"/>
    <col collapsed="false" customWidth="true" hidden="false" outlineLevel="0" max="26" min="26" style="0" width="11"/>
    <col collapsed="false" customWidth="true" hidden="false" outlineLevel="0" max="27" min="27" style="0" width="10"/>
  </cols>
  <sheetData>
    <row r="1" customFormat="false" ht="17.35" hidden="false" customHeight="false" outlineLevel="0" collapsed="false">
      <c r="A1" s="1" t="s">
        <v>900</v>
      </c>
    </row>
    <row r="2" customFormat="false" ht="15" hidden="false" customHeight="false" outlineLevel="0" collapsed="false">
      <c r="A2" s="2" t="s">
        <v>901</v>
      </c>
    </row>
    <row r="4" customFormat="false" ht="31.5" hidden="false" customHeight="true" outlineLevel="0" collapsed="false">
      <c r="A4" s="5" t="s">
        <v>902</v>
      </c>
      <c r="B4" s="5" t="s">
        <v>903</v>
      </c>
      <c r="C4" s="5" t="s">
        <v>904</v>
      </c>
      <c r="D4" s="5" t="s">
        <v>905</v>
      </c>
      <c r="E4" s="5" t="s">
        <v>906</v>
      </c>
      <c r="F4" s="5" t="s">
        <v>907</v>
      </c>
      <c r="G4" s="5" t="s">
        <v>908</v>
      </c>
      <c r="H4" s="5" t="s">
        <v>909</v>
      </c>
      <c r="I4" s="5" t="s">
        <v>910</v>
      </c>
      <c r="J4" s="5" t="s">
        <v>911</v>
      </c>
      <c r="K4" s="5" t="s">
        <v>912</v>
      </c>
      <c r="L4" s="5" t="s">
        <v>913</v>
      </c>
      <c r="M4" s="5" t="s">
        <v>914</v>
      </c>
      <c r="N4" s="5" t="s">
        <v>915</v>
      </c>
      <c r="O4" s="5" t="s">
        <v>916</v>
      </c>
      <c r="P4" s="5" t="s">
        <v>917</v>
      </c>
      <c r="Q4" s="5" t="s">
        <v>918</v>
      </c>
      <c r="R4" s="5" t="s">
        <v>919</v>
      </c>
      <c r="S4" s="5" t="s">
        <v>920</v>
      </c>
      <c r="T4" s="5" t="s">
        <v>921</v>
      </c>
      <c r="U4" s="5" t="s">
        <v>922</v>
      </c>
      <c r="V4" s="5" t="s">
        <v>829</v>
      </c>
      <c r="W4" s="5" t="s">
        <v>923</v>
      </c>
      <c r="X4" s="5" t="s">
        <v>924</v>
      </c>
      <c r="Y4" s="5" t="s">
        <v>925</v>
      </c>
      <c r="Z4" s="5" t="s">
        <v>926</v>
      </c>
      <c r="AA4" s="5" t="s">
        <v>927</v>
      </c>
    </row>
    <row r="5" customFormat="false" ht="15" hidden="false" customHeight="false" outlineLevel="0" collapsed="false">
      <c r="A5" s="23" t="s">
        <v>928</v>
      </c>
      <c r="B5" s="23" t="s">
        <v>929</v>
      </c>
      <c r="C5" s="23" t="s">
        <v>930</v>
      </c>
      <c r="D5" s="24" t="n">
        <v>2.586</v>
      </c>
      <c r="E5" s="24" t="n">
        <v>324.28766728873</v>
      </c>
      <c r="F5" s="12" t="n">
        <v>3</v>
      </c>
      <c r="G5" s="12" t="n">
        <v>2</v>
      </c>
      <c r="H5" s="12" t="n">
        <v>0</v>
      </c>
      <c r="I5" s="12" t="n">
        <v>10</v>
      </c>
      <c r="J5" s="12" t="n">
        <v>5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7889.58442872691</v>
      </c>
      <c r="Q5" s="12" t="n">
        <v>0</v>
      </c>
      <c r="R5" s="12" t="n">
        <v>8811.64329872171</v>
      </c>
      <c r="S5" s="12" t="n">
        <v>648.551805975063</v>
      </c>
      <c r="T5" s="12" t="n">
        <v>546.252287915294</v>
      </c>
      <c r="U5" s="12" t="n">
        <v>215</v>
      </c>
      <c r="V5" s="12" t="n">
        <v>5822.91938026468</v>
      </c>
      <c r="W5" s="8" t="n">
        <f aca="false">E5*((D5+2*WS_PIPE)*(D5+SURR_ABOVE)-PI()*D5^2/4)</f>
        <v>2588.7649253347</v>
      </c>
      <c r="X5" s="12" t="n">
        <v>324.275902987531</v>
      </c>
      <c r="Y5" s="12" t="n">
        <v>241</v>
      </c>
      <c r="Z5" s="12" t="n">
        <v>0</v>
      </c>
      <c r="AA5" s="12" t="n">
        <v>1</v>
      </c>
    </row>
    <row r="6" customFormat="false" ht="15" hidden="false" customHeight="false" outlineLevel="0" collapsed="false">
      <c r="A6" s="23" t="s">
        <v>931</v>
      </c>
      <c r="B6" s="23" t="s">
        <v>929</v>
      </c>
      <c r="C6" s="23" t="s">
        <v>932</v>
      </c>
      <c r="D6" s="24" t="n">
        <v>2.07</v>
      </c>
      <c r="E6" s="24" t="n">
        <v>267.365708195873</v>
      </c>
      <c r="F6" s="12" t="n">
        <v>5</v>
      </c>
      <c r="G6" s="12" t="n">
        <v>2</v>
      </c>
      <c r="H6" s="12" t="n">
        <v>0</v>
      </c>
      <c r="I6" s="12" t="n">
        <v>0</v>
      </c>
      <c r="J6" s="12" t="n">
        <v>4</v>
      </c>
      <c r="K6" s="12" t="n">
        <v>0</v>
      </c>
      <c r="L6" s="12" t="n">
        <v>0</v>
      </c>
      <c r="M6" s="12" t="n">
        <v>1</v>
      </c>
      <c r="N6" s="12" t="n">
        <v>0</v>
      </c>
      <c r="O6" s="12" t="n">
        <v>0</v>
      </c>
      <c r="P6" s="12" t="n">
        <v>5798.44743274858</v>
      </c>
      <c r="Q6" s="12" t="n">
        <v>0</v>
      </c>
      <c r="R6" s="12" t="n">
        <v>6300.50531802058</v>
      </c>
      <c r="S6" s="12" t="n">
        <v>534.723869835506</v>
      </c>
      <c r="T6" s="12" t="n">
        <v>409.167938875401</v>
      </c>
      <c r="U6" s="12" t="n">
        <v>194</v>
      </c>
      <c r="V6" s="12" t="n">
        <v>4496.57487670292</v>
      </c>
      <c r="W6" s="8" t="n">
        <f aca="false">E6*((D6+2*WS_PIPE)*(D6+SURR_ABOVE)-PI()*D6^2/4)</f>
        <v>1679.20300604104</v>
      </c>
      <c r="X6" s="12" t="n">
        <v>267.361934917753</v>
      </c>
      <c r="Y6" s="12" t="n">
        <v>464</v>
      </c>
      <c r="Z6" s="12" t="n">
        <v>0</v>
      </c>
      <c r="AA6" s="12" t="n">
        <v>3</v>
      </c>
    </row>
    <row r="7" customFormat="false" ht="15" hidden="false" customHeight="false" outlineLevel="0" collapsed="false">
      <c r="A7" s="23" t="s">
        <v>933</v>
      </c>
      <c r="B7" s="23" t="s">
        <v>929</v>
      </c>
      <c r="C7" s="23" t="s">
        <v>932</v>
      </c>
      <c r="D7" s="24" t="n">
        <v>2.07</v>
      </c>
      <c r="E7" s="24" t="n">
        <v>186.064848565054</v>
      </c>
      <c r="F7" s="12" t="n">
        <v>5</v>
      </c>
      <c r="G7" s="12" t="n">
        <v>1</v>
      </c>
      <c r="H7" s="12" t="n">
        <v>0</v>
      </c>
      <c r="I7" s="12" t="n">
        <v>0</v>
      </c>
      <c r="J7" s="12" t="n">
        <v>4</v>
      </c>
      <c r="K7" s="12" t="n">
        <v>0</v>
      </c>
      <c r="L7" s="12" t="n">
        <v>0</v>
      </c>
      <c r="M7" s="12" t="n">
        <v>1</v>
      </c>
      <c r="N7" s="12" t="n">
        <v>0</v>
      </c>
      <c r="O7" s="12" t="n">
        <v>0</v>
      </c>
      <c r="P7" s="12" t="n">
        <v>4033.55881536326</v>
      </c>
      <c r="Q7" s="12" t="n">
        <v>0</v>
      </c>
      <c r="R7" s="12" t="n">
        <v>4509.53830786756</v>
      </c>
      <c r="S7" s="12" t="n">
        <v>372.118331374229</v>
      </c>
      <c r="T7" s="12" t="n">
        <v>282.217887920396</v>
      </c>
      <c r="U7" s="12" t="n">
        <v>138</v>
      </c>
      <c r="V7" s="12" t="n">
        <v>3146.29772659773</v>
      </c>
      <c r="W7" s="8" t="n">
        <f aca="false">E7*((D7+2*WS_PIPE)*(D7+SURR_ABOVE)-PI()*D7^2/4)</f>
        <v>1168.58910268371</v>
      </c>
      <c r="X7" s="12" t="n">
        <v>186.059165687115</v>
      </c>
      <c r="Y7" s="12" t="n">
        <v>341</v>
      </c>
      <c r="Z7" s="12" t="n">
        <v>0</v>
      </c>
      <c r="AA7" s="12" t="n">
        <v>5</v>
      </c>
    </row>
    <row r="8" customFormat="false" ht="15" hidden="false" customHeight="false" outlineLevel="0" collapsed="false">
      <c r="A8" s="23" t="s">
        <v>934</v>
      </c>
      <c r="B8" s="23" t="s">
        <v>929</v>
      </c>
      <c r="C8" s="23" t="s">
        <v>932</v>
      </c>
      <c r="D8" s="24" t="n">
        <v>2.07</v>
      </c>
      <c r="E8" s="24" t="n">
        <v>22.7036028366094</v>
      </c>
      <c r="F8" s="12" t="n">
        <v>2</v>
      </c>
      <c r="G8" s="12" t="n">
        <v>1</v>
      </c>
      <c r="H8" s="12" t="n">
        <v>4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1</v>
      </c>
      <c r="N8" s="12" t="n">
        <v>0</v>
      </c>
      <c r="O8" s="12" t="n">
        <v>0</v>
      </c>
      <c r="P8" s="12" t="n">
        <v>472.841926831508</v>
      </c>
      <c r="Q8" s="12" t="n">
        <v>0</v>
      </c>
      <c r="R8" s="12" t="n">
        <v>547.788386067174</v>
      </c>
      <c r="S8" s="12" t="n">
        <v>45.3097805514453</v>
      </c>
      <c r="T8" s="12" t="n">
        <v>33.9047700349068</v>
      </c>
      <c r="U8" s="12" t="n">
        <v>22</v>
      </c>
      <c r="V8" s="12" t="n">
        <v>367.642201726824</v>
      </c>
      <c r="W8" s="8" t="n">
        <f aca="false">E8*((D8+2*WS_PIPE)*(D8+SURR_ABOVE)-PI()*D8^2/4)</f>
        <v>142.591053985377</v>
      </c>
      <c r="X8" s="12" t="n">
        <v>22.6548902757226</v>
      </c>
      <c r="Y8" s="12" t="n">
        <v>129</v>
      </c>
      <c r="Z8" s="12" t="n">
        <v>0</v>
      </c>
      <c r="AA8" s="12" t="n">
        <v>2</v>
      </c>
    </row>
    <row r="9" customFormat="false" ht="15" hidden="false" customHeight="false" outlineLevel="0" collapsed="false">
      <c r="A9" s="23" t="s">
        <v>935</v>
      </c>
      <c r="B9" s="23" t="s">
        <v>929</v>
      </c>
      <c r="C9" s="23" t="s">
        <v>936</v>
      </c>
      <c r="D9" s="24" t="n">
        <v>2.276</v>
      </c>
      <c r="E9" s="24" t="n">
        <v>306.51829679445</v>
      </c>
      <c r="F9" s="12" t="n">
        <v>5</v>
      </c>
      <c r="G9" s="12" t="n">
        <v>1</v>
      </c>
      <c r="H9" s="12" t="n">
        <v>0</v>
      </c>
      <c r="I9" s="12" t="n">
        <v>0</v>
      </c>
      <c r="J9" s="12" t="n">
        <v>6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2988.46817567295</v>
      </c>
      <c r="Q9" s="12" t="n">
        <v>3231.1135218728</v>
      </c>
      <c r="R9" s="12" t="n">
        <v>2891.24407505449</v>
      </c>
      <c r="S9" s="12" t="n">
        <v>413.034867864928</v>
      </c>
      <c r="T9" s="12" t="n">
        <v>498.521854486354</v>
      </c>
      <c r="U9" s="12" t="n">
        <v>220</v>
      </c>
      <c r="V9" s="12" t="n">
        <v>4499.25228501993</v>
      </c>
      <c r="W9" s="8" t="n">
        <f aca="false">E9*((D9+2*WS_PIPE)*(D9+SURR_ABOVE)-PI()*D9^2/4)</f>
        <v>2129.22177263066</v>
      </c>
      <c r="X9" s="12" t="n">
        <v>306.517433932035</v>
      </c>
      <c r="Y9" s="12" t="n">
        <v>393</v>
      </c>
      <c r="Z9" s="12" t="n">
        <v>0</v>
      </c>
      <c r="AA9" s="12" t="n">
        <v>3</v>
      </c>
    </row>
    <row r="10" customFormat="false" ht="15" hidden="false" customHeight="false" outlineLevel="0" collapsed="false">
      <c r="A10" s="23" t="s">
        <v>937</v>
      </c>
      <c r="B10" s="23" t="s">
        <v>929</v>
      </c>
      <c r="C10" s="23" t="s">
        <v>936</v>
      </c>
      <c r="D10" s="24" t="n">
        <v>2.276</v>
      </c>
      <c r="E10" s="24" t="n">
        <v>299.907358527602</v>
      </c>
      <c r="F10" s="12" t="n">
        <v>5</v>
      </c>
      <c r="G10" s="12" t="n">
        <v>1</v>
      </c>
      <c r="H10" s="12" t="n">
        <v>0</v>
      </c>
      <c r="I10" s="12" t="n">
        <v>1</v>
      </c>
      <c r="J10" s="12" t="n">
        <v>9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4331.4843577598</v>
      </c>
      <c r="Q10" s="12" t="n">
        <v>0</v>
      </c>
      <c r="R10" s="12" t="n">
        <v>4198.70082904399</v>
      </c>
      <c r="S10" s="12" t="n">
        <v>599.814404149142</v>
      </c>
      <c r="T10" s="12" t="n">
        <v>487.320201745687</v>
      </c>
      <c r="U10" s="12" t="n">
        <v>216</v>
      </c>
      <c r="V10" s="12" t="n">
        <v>2651.90960127863</v>
      </c>
      <c r="W10" s="8" t="n">
        <f aca="false">E10*((D10+2*WS_PIPE)*(D10+SURR_ABOVE)-PI()*D10^2/4)</f>
        <v>2083.2990533591</v>
      </c>
      <c r="X10" s="12" t="n">
        <v>299.907202074571</v>
      </c>
      <c r="Y10" s="12" t="n">
        <v>436</v>
      </c>
      <c r="Z10" s="12" t="n">
        <v>0</v>
      </c>
      <c r="AA10" s="12" t="n">
        <v>3</v>
      </c>
    </row>
    <row r="11" customFormat="false" ht="15" hidden="false" customHeight="false" outlineLevel="0" collapsed="false">
      <c r="A11" s="23" t="s">
        <v>938</v>
      </c>
      <c r="B11" s="23" t="s">
        <v>929</v>
      </c>
      <c r="C11" s="23" t="s">
        <v>932</v>
      </c>
      <c r="D11" s="24" t="n">
        <v>2.07</v>
      </c>
      <c r="E11" s="24" t="n">
        <v>86.7642702802131</v>
      </c>
      <c r="F11" s="12" t="n">
        <v>4</v>
      </c>
      <c r="G11" s="12" t="n">
        <v>1</v>
      </c>
      <c r="H11" s="12" t="n">
        <v>0</v>
      </c>
      <c r="I11" s="12" t="n">
        <v>4</v>
      </c>
      <c r="J11" s="12" t="n">
        <v>0</v>
      </c>
      <c r="K11" s="12" t="n">
        <v>0</v>
      </c>
      <c r="L11" s="12" t="n">
        <v>0</v>
      </c>
      <c r="M11" s="12" t="n">
        <v>1</v>
      </c>
      <c r="N11" s="12" t="n">
        <v>0</v>
      </c>
      <c r="O11" s="12" t="n">
        <v>0</v>
      </c>
      <c r="P11" s="12" t="n">
        <v>1012.16480068303</v>
      </c>
      <c r="Q11" s="12" t="n">
        <v>558.595652808265</v>
      </c>
      <c r="R11" s="12" t="n">
        <v>1093.91016922186</v>
      </c>
      <c r="S11" s="12" t="n">
        <v>128.931939999596</v>
      </c>
      <c r="T11" s="12" t="n">
        <v>133.072047308784</v>
      </c>
      <c r="U11" s="12" t="n">
        <v>70</v>
      </c>
      <c r="V11" s="12" t="n">
        <v>1146.1724099357</v>
      </c>
      <c r="W11" s="8" t="n">
        <f aca="false">E11*((D11+2*WS_PIPE)*(D11+SURR_ABOVE)-PI()*D11^2/4)</f>
        <v>544.927112959283</v>
      </c>
      <c r="X11" s="12" t="n">
        <v>86.7273246121994</v>
      </c>
      <c r="Y11" s="12" t="n">
        <v>268</v>
      </c>
      <c r="Z11" s="12" t="n">
        <v>0</v>
      </c>
      <c r="AA11" s="12" t="n">
        <v>4</v>
      </c>
    </row>
    <row r="12" customFormat="false" ht="15" hidden="false" customHeight="false" outlineLevel="0" collapsed="false">
      <c r="A12" s="23" t="s">
        <v>939</v>
      </c>
      <c r="B12" s="23" t="s">
        <v>940</v>
      </c>
      <c r="C12" s="23" t="s">
        <v>941</v>
      </c>
      <c r="D12" s="24" t="n">
        <v>1.655</v>
      </c>
      <c r="E12" s="24" t="n">
        <v>371.36635598413</v>
      </c>
      <c r="F12" s="12" t="n">
        <v>12</v>
      </c>
      <c r="G12" s="12" t="n">
        <v>4</v>
      </c>
      <c r="H12" s="12" t="n">
        <v>0</v>
      </c>
      <c r="I12" s="12" t="n">
        <v>10</v>
      </c>
      <c r="J12" s="12" t="n">
        <v>5</v>
      </c>
      <c r="K12" s="12" t="n">
        <v>5</v>
      </c>
      <c r="L12" s="12" t="n">
        <v>4</v>
      </c>
      <c r="M12" s="12" t="n">
        <v>2</v>
      </c>
      <c r="N12" s="12" t="n">
        <v>0</v>
      </c>
      <c r="O12" s="12" t="n">
        <v>0</v>
      </c>
      <c r="P12" s="12" t="n">
        <v>1476.16888632447</v>
      </c>
      <c r="Q12" s="12" t="n">
        <v>2835.29456312532</v>
      </c>
      <c r="R12" s="12" t="n">
        <v>2091.54034847271</v>
      </c>
      <c r="S12" s="12" t="n">
        <v>334.375130962867</v>
      </c>
      <c r="T12" s="12" t="n">
        <v>429.056935422049</v>
      </c>
      <c r="U12" s="12" t="n">
        <v>284</v>
      </c>
      <c r="V12" s="12" t="n">
        <v>3370.42516278658</v>
      </c>
      <c r="W12" s="8" t="n">
        <f aca="false">E12*((D12+2*WS_PIPE)*(D12+SURR_ABOVE)-PI()*D12^2/4)</f>
        <v>1854.71491574723</v>
      </c>
      <c r="X12" s="12" t="n">
        <v>370.92538229681</v>
      </c>
      <c r="Y12" s="12" t="n">
        <v>960</v>
      </c>
      <c r="Z12" s="12" t="n">
        <v>0</v>
      </c>
      <c r="AA12" s="12" t="n">
        <v>7</v>
      </c>
    </row>
    <row r="13" customFormat="false" ht="15" hidden="false" customHeight="false" outlineLevel="0" collapsed="false">
      <c r="A13" s="23" t="s">
        <v>942</v>
      </c>
      <c r="B13" s="23" t="s">
        <v>929</v>
      </c>
      <c r="C13" s="23" t="s">
        <v>932</v>
      </c>
      <c r="D13" s="24" t="n">
        <v>2.07</v>
      </c>
      <c r="E13" s="24" t="n">
        <v>233.260783980039</v>
      </c>
      <c r="F13" s="12" t="n">
        <v>8</v>
      </c>
      <c r="G13" s="12" t="n">
        <v>1</v>
      </c>
      <c r="H13" s="12" t="n">
        <v>4</v>
      </c>
      <c r="I13" s="12" t="n">
        <v>4</v>
      </c>
      <c r="J13" s="12" t="n">
        <v>0</v>
      </c>
      <c r="K13" s="12" t="n">
        <v>0</v>
      </c>
      <c r="L13" s="12" t="n">
        <v>0</v>
      </c>
      <c r="M13" s="12" t="n">
        <v>1</v>
      </c>
      <c r="N13" s="12" t="n">
        <v>0</v>
      </c>
      <c r="O13" s="12" t="n">
        <v>0</v>
      </c>
      <c r="P13" s="12" t="n">
        <v>3705.26325279162</v>
      </c>
      <c r="Q13" s="12" t="n">
        <v>1252.11545946923</v>
      </c>
      <c r="R13" s="12" t="n">
        <v>3920.16782111862</v>
      </c>
      <c r="S13" s="12" t="n">
        <v>345.416782111859</v>
      </c>
      <c r="T13" s="12" t="n">
        <v>357.152672610127</v>
      </c>
      <c r="U13" s="12" t="n">
        <v>184</v>
      </c>
      <c r="V13" s="12" t="n">
        <v>3817.43560280994</v>
      </c>
      <c r="W13" s="8" t="n">
        <f aca="false">E13*((D13+2*WS_PIPE)*(D13+SURR_ABOVE)-PI()*D13^2/4)</f>
        <v>1465.00541260069</v>
      </c>
      <c r="X13" s="12" t="n">
        <v>232.70839105645</v>
      </c>
      <c r="Y13" s="12" t="n">
        <v>598</v>
      </c>
      <c r="Z13" s="12" t="n">
        <v>0</v>
      </c>
      <c r="AA13" s="12" t="n">
        <v>8</v>
      </c>
    </row>
    <row r="14" customFormat="false" ht="15" hidden="false" customHeight="false" outlineLevel="0" collapsed="false">
      <c r="A14" s="23" t="s">
        <v>943</v>
      </c>
      <c r="B14" s="23" t="s">
        <v>940</v>
      </c>
      <c r="C14" s="23" t="s">
        <v>944</v>
      </c>
      <c r="D14" s="24" t="n">
        <v>1.633</v>
      </c>
      <c r="E14" s="24" t="n">
        <v>346.371304434734</v>
      </c>
      <c r="F14" s="12" t="n">
        <v>12</v>
      </c>
      <c r="G14" s="12" t="n">
        <v>4</v>
      </c>
      <c r="H14" s="12" t="n">
        <v>0</v>
      </c>
      <c r="I14" s="12" t="n">
        <v>8</v>
      </c>
      <c r="J14" s="12" t="n">
        <v>2</v>
      </c>
      <c r="K14" s="12" t="n">
        <v>2</v>
      </c>
      <c r="L14" s="12" t="n">
        <v>3</v>
      </c>
      <c r="M14" s="12" t="n">
        <v>2</v>
      </c>
      <c r="N14" s="12" t="n">
        <v>0</v>
      </c>
      <c r="O14" s="12" t="n">
        <v>0</v>
      </c>
      <c r="P14" s="12" t="n">
        <v>530.143335745991</v>
      </c>
      <c r="Q14" s="12" t="n">
        <v>3987.10338729328</v>
      </c>
      <c r="R14" s="12" t="n">
        <v>761.076317860127</v>
      </c>
      <c r="S14" s="12" t="n">
        <v>152.215263572025</v>
      </c>
      <c r="T14" s="12" t="n">
        <v>408.90492529153</v>
      </c>
      <c r="U14" s="12" t="n">
        <v>268</v>
      </c>
      <c r="V14" s="12" t="n">
        <v>3594.00562141226</v>
      </c>
      <c r="W14" s="8" t="n">
        <f aca="false">E14*((D14+2*WS_PIPE)*(D14+SURR_ABOVE)-PI()*D14^2/4)</f>
        <v>1706.97887327507</v>
      </c>
      <c r="X14" s="12" t="n">
        <v>346.371195082503</v>
      </c>
      <c r="Y14" s="12" t="n">
        <v>1210</v>
      </c>
      <c r="Z14" s="12" t="n">
        <v>0</v>
      </c>
      <c r="AA14" s="12" t="n">
        <v>7</v>
      </c>
    </row>
    <row r="15" customFormat="false" ht="15" hidden="false" customHeight="false" outlineLevel="0" collapsed="false">
      <c r="A15" s="23" t="s">
        <v>945</v>
      </c>
      <c r="B15" s="23" t="s">
        <v>929</v>
      </c>
      <c r="C15" s="23" t="s">
        <v>932</v>
      </c>
      <c r="D15" s="24" t="n">
        <v>2.07</v>
      </c>
      <c r="E15" s="24" t="n">
        <v>167.998078222645</v>
      </c>
      <c r="F15" s="12" t="n">
        <v>6</v>
      </c>
      <c r="G15" s="12" t="n">
        <v>1</v>
      </c>
      <c r="H15" s="12" t="n">
        <v>0</v>
      </c>
      <c r="I15" s="12" t="n">
        <v>2</v>
      </c>
      <c r="J15" s="12" t="n">
        <v>2</v>
      </c>
      <c r="K15" s="12" t="n">
        <v>0</v>
      </c>
      <c r="L15" s="12" t="n">
        <v>0</v>
      </c>
      <c r="M15" s="12" t="n">
        <v>1</v>
      </c>
      <c r="N15" s="12" t="n">
        <v>0</v>
      </c>
      <c r="O15" s="12" t="n">
        <v>0</v>
      </c>
      <c r="P15" s="12" t="n">
        <v>3141.78086612545</v>
      </c>
      <c r="Q15" s="12" t="n">
        <v>0</v>
      </c>
      <c r="R15" s="12" t="n">
        <v>3359.95229326949</v>
      </c>
      <c r="S15" s="12" t="n">
        <v>335.995229326949</v>
      </c>
      <c r="T15" s="12" t="n">
        <v>255.757232843664</v>
      </c>
      <c r="U15" s="12" t="n">
        <v>132</v>
      </c>
      <c r="V15" s="12" t="n">
        <v>2334.26214703999</v>
      </c>
      <c r="W15" s="8" t="n">
        <f aca="false">E15*((D15+2*WS_PIPE)*(D15+SURR_ABOVE)-PI()*D15^2/4)</f>
        <v>1055.1198950088</v>
      </c>
      <c r="X15" s="12" t="n">
        <v>167.997614663474</v>
      </c>
      <c r="Y15" s="12" t="n">
        <v>196</v>
      </c>
      <c r="Z15" s="12" t="n">
        <v>0</v>
      </c>
      <c r="AA15" s="12" t="n">
        <v>3</v>
      </c>
    </row>
    <row r="16" customFormat="false" ht="15" hidden="false" customHeight="false" outlineLevel="0" collapsed="false">
      <c r="A16" s="23" t="s">
        <v>946</v>
      </c>
      <c r="B16" s="23" t="s">
        <v>940</v>
      </c>
      <c r="C16" s="23" t="s">
        <v>941</v>
      </c>
      <c r="D16" s="24" t="n">
        <v>1.655</v>
      </c>
      <c r="E16" s="24" t="n">
        <v>259.219033776244</v>
      </c>
      <c r="F16" s="12" t="n">
        <v>10</v>
      </c>
      <c r="G16" s="12" t="n">
        <v>4</v>
      </c>
      <c r="H16" s="12" t="n">
        <v>0</v>
      </c>
      <c r="I16" s="12" t="n">
        <v>8</v>
      </c>
      <c r="J16" s="12" t="n">
        <v>2</v>
      </c>
      <c r="K16" s="12" t="n">
        <v>7</v>
      </c>
      <c r="L16" s="12" t="n">
        <v>3</v>
      </c>
      <c r="M16" s="12" t="n">
        <v>2</v>
      </c>
      <c r="N16" s="12" t="n">
        <v>0</v>
      </c>
      <c r="O16" s="12" t="n">
        <v>0</v>
      </c>
      <c r="P16" s="12" t="n">
        <v>3220.41072480033</v>
      </c>
      <c r="Q16" s="12" t="n">
        <v>290.722468913246</v>
      </c>
      <c r="R16" s="12" t="n">
        <v>4261.58261442292</v>
      </c>
      <c r="S16" s="12" t="n">
        <v>477.467590311337</v>
      </c>
      <c r="T16" s="12" t="n">
        <v>298.235802805901</v>
      </c>
      <c r="U16" s="12" t="n">
        <v>204</v>
      </c>
      <c r="V16" s="12" t="n">
        <v>2860.2496378825</v>
      </c>
      <c r="W16" s="8" t="n">
        <f aca="false">E16*((D16+2*WS_PIPE)*(D16+SURR_ABOVE)-PI()*D16^2/4)</f>
        <v>1294.61756737848</v>
      </c>
      <c r="X16" s="12" t="n">
        <v>258.733795155697</v>
      </c>
      <c r="Y16" s="12" t="n">
        <v>737</v>
      </c>
      <c r="Z16" s="12" t="n">
        <v>0</v>
      </c>
      <c r="AA16" s="12" t="n">
        <v>7</v>
      </c>
    </row>
    <row r="17" customFormat="false" ht="15" hidden="false" customHeight="false" outlineLevel="0" collapsed="false">
      <c r="A17" s="23" t="s">
        <v>947</v>
      </c>
      <c r="B17" s="23" t="s">
        <v>929</v>
      </c>
      <c r="C17" s="23" t="s">
        <v>948</v>
      </c>
      <c r="D17" s="24" t="n">
        <v>2.69</v>
      </c>
      <c r="E17" s="24" t="n">
        <v>283.140264833107</v>
      </c>
      <c r="F17" s="12" t="n">
        <v>7</v>
      </c>
      <c r="G17" s="12" t="n">
        <v>2</v>
      </c>
      <c r="H17" s="12" t="n">
        <v>0</v>
      </c>
      <c r="I17" s="12" t="n">
        <v>9</v>
      </c>
      <c r="J17" s="12" t="n">
        <v>6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2482.02528506457</v>
      </c>
      <c r="Q17" s="12" t="n">
        <v>3158.36210623508</v>
      </c>
      <c r="R17" s="12" t="n">
        <v>2399.92034397995</v>
      </c>
      <c r="S17" s="12" t="n">
        <v>299.001762664753</v>
      </c>
      <c r="T17" s="12" t="n">
        <v>519.482622586973</v>
      </c>
      <c r="U17" s="12" t="n">
        <v>206</v>
      </c>
      <c r="V17" s="12" t="n">
        <v>3535.94369397052</v>
      </c>
      <c r="W17" s="8" t="n">
        <f aca="false">E17*((D17+2*WS_PIPE)*(D17+SURR_ABOVE)-PI()*D17^2/4)</f>
        <v>2361.35593093004</v>
      </c>
      <c r="X17" s="12" t="n">
        <v>283.113941332657</v>
      </c>
      <c r="Y17" s="12" t="n">
        <v>640</v>
      </c>
      <c r="Z17" s="12" t="n">
        <v>224.100000000815</v>
      </c>
      <c r="AA17" s="12" t="n">
        <v>5</v>
      </c>
    </row>
    <row r="18" customFormat="false" ht="15" hidden="false" customHeight="false" outlineLevel="0" collapsed="false">
      <c r="A18" s="23" t="s">
        <v>949</v>
      </c>
      <c r="B18" s="23" t="s">
        <v>929</v>
      </c>
      <c r="C18" s="23" t="s">
        <v>948</v>
      </c>
      <c r="D18" s="24" t="n">
        <v>2.69</v>
      </c>
      <c r="E18" s="24" t="n">
        <v>287.822879685597</v>
      </c>
      <c r="F18" s="12" t="n">
        <v>8</v>
      </c>
      <c r="G18" s="12" t="n">
        <v>2</v>
      </c>
      <c r="H18" s="12" t="n">
        <v>0</v>
      </c>
      <c r="I18" s="12" t="n">
        <v>9</v>
      </c>
      <c r="J18" s="12" t="n">
        <v>6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2344.68464585169</v>
      </c>
      <c r="Q18" s="12" t="n">
        <v>3529.74085942873</v>
      </c>
      <c r="R18" s="12" t="n">
        <v>2320.3815910873</v>
      </c>
      <c r="S18" s="12" t="n">
        <v>275.597954564848</v>
      </c>
      <c r="T18" s="12" t="n">
        <v>528.001529594243</v>
      </c>
      <c r="U18" s="12" t="n">
        <v>214</v>
      </c>
      <c r="V18" s="12" t="n">
        <v>3735.88655692353</v>
      </c>
      <c r="W18" s="8" t="n">
        <f aca="false">E18*((D18+2*WS_PIPE)*(D18+SURR_ABOVE)-PI()*D18^2/4)</f>
        <v>2400.40837852419</v>
      </c>
      <c r="X18" s="12" t="n">
        <v>287.798977282739</v>
      </c>
      <c r="Y18" s="12" t="n">
        <v>667</v>
      </c>
      <c r="Z18" s="12" t="n">
        <v>230.617147282979</v>
      </c>
      <c r="AA18" s="12" t="n">
        <v>6</v>
      </c>
    </row>
    <row r="19" customFormat="false" ht="15" hidden="false" customHeight="false" outlineLevel="0" collapsed="false">
      <c r="A19" s="23" t="s">
        <v>950</v>
      </c>
      <c r="B19" s="23" t="s">
        <v>929</v>
      </c>
      <c r="C19" s="23" t="s">
        <v>948</v>
      </c>
      <c r="D19" s="24" t="n">
        <v>2.69</v>
      </c>
      <c r="E19" s="24" t="n">
        <v>205.676021682809</v>
      </c>
      <c r="F19" s="12" t="n">
        <v>5</v>
      </c>
      <c r="G19" s="12" t="n">
        <v>2</v>
      </c>
      <c r="H19" s="12" t="n">
        <v>0</v>
      </c>
      <c r="I19" s="12" t="n">
        <v>4</v>
      </c>
      <c r="J19" s="12" t="n">
        <v>4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2670.3870896476</v>
      </c>
      <c r="Q19" s="12" t="n">
        <v>518.392119191631</v>
      </c>
      <c r="R19" s="12" t="n">
        <v>2630.04820318976</v>
      </c>
      <c r="S19" s="12" t="n">
        <v>373.909302576895</v>
      </c>
      <c r="T19" s="12" t="n">
        <v>377.075595695255</v>
      </c>
      <c r="U19" s="12" t="n">
        <v>150</v>
      </c>
      <c r="V19" s="12" t="n">
        <v>1662.17283633697</v>
      </c>
      <c r="W19" s="8" t="n">
        <f aca="false">E19*((D19+2*WS_PIPE)*(D19+SURR_ABOVE)-PI()*D19^2/4)</f>
        <v>1715.31341166566</v>
      </c>
      <c r="X19" s="12" t="n">
        <v>205.598731287925</v>
      </c>
      <c r="Y19" s="12" t="n">
        <v>302</v>
      </c>
      <c r="Z19" s="12" t="n">
        <v>146.399999999833</v>
      </c>
      <c r="AA19" s="12" t="n">
        <v>2</v>
      </c>
    </row>
    <row r="20" customFormat="false" ht="15" hidden="false" customHeight="false" outlineLevel="0" collapsed="false">
      <c r="A20" s="23" t="s">
        <v>951</v>
      </c>
      <c r="B20" s="23" t="s">
        <v>929</v>
      </c>
      <c r="C20" s="23" t="s">
        <v>932</v>
      </c>
      <c r="D20" s="24" t="n">
        <v>2.07</v>
      </c>
      <c r="E20" s="24" t="n">
        <v>189.350239292234</v>
      </c>
      <c r="F20" s="12" t="n">
        <v>6</v>
      </c>
      <c r="G20" s="12" t="n">
        <v>0</v>
      </c>
      <c r="H20" s="12" t="n">
        <v>3</v>
      </c>
      <c r="I20" s="12" t="n">
        <v>9</v>
      </c>
      <c r="J20" s="12" t="n">
        <v>0</v>
      </c>
      <c r="K20" s="12" t="n">
        <v>0</v>
      </c>
      <c r="L20" s="12" t="n">
        <v>0</v>
      </c>
      <c r="M20" s="12" t="n">
        <v>1</v>
      </c>
      <c r="N20" s="12" t="n">
        <v>0</v>
      </c>
      <c r="O20" s="12" t="n">
        <v>0</v>
      </c>
      <c r="P20" s="12" t="n">
        <v>4448.59680152263</v>
      </c>
      <c r="Q20" s="12" t="n">
        <v>0</v>
      </c>
      <c r="R20" s="12" t="n">
        <v>4538.05412567469</v>
      </c>
      <c r="S20" s="12" t="n">
        <v>378.700471045098</v>
      </c>
      <c r="T20" s="12" t="n">
        <v>284.095084482168</v>
      </c>
      <c r="U20" s="12" t="n">
        <v>144</v>
      </c>
      <c r="V20" s="12" t="n">
        <v>3560.99796062562</v>
      </c>
      <c r="W20" s="8" t="n">
        <f aca="false">E20*((D20+2*WS_PIPE)*(D20+SURR_ABOVE)-PI()*D20^2/4)</f>
        <v>1189.22315490501</v>
      </c>
      <c r="X20" s="12" t="n">
        <v>189.350235522549</v>
      </c>
      <c r="Y20" s="12" t="n">
        <v>210</v>
      </c>
      <c r="Z20" s="12" t="n">
        <v>0</v>
      </c>
      <c r="AA20" s="12" t="n">
        <v>4</v>
      </c>
    </row>
    <row r="21" customFormat="false" ht="15" hidden="false" customHeight="false" outlineLevel="0" collapsed="false">
      <c r="A21" s="23" t="s">
        <v>952</v>
      </c>
      <c r="B21" s="23" t="s">
        <v>940</v>
      </c>
      <c r="C21" s="23" t="s">
        <v>953</v>
      </c>
      <c r="D21" s="24" t="n">
        <v>1.42</v>
      </c>
      <c r="E21" s="24" t="n">
        <v>206.030921895148</v>
      </c>
      <c r="F21" s="12" t="n">
        <v>7</v>
      </c>
      <c r="G21" s="12" t="n">
        <v>2</v>
      </c>
      <c r="H21" s="12" t="n">
        <v>0</v>
      </c>
      <c r="I21" s="12" t="n">
        <v>2</v>
      </c>
      <c r="J21" s="12" t="n">
        <v>0</v>
      </c>
      <c r="K21" s="12" t="n">
        <v>0</v>
      </c>
      <c r="L21" s="12" t="n">
        <v>1</v>
      </c>
      <c r="M21" s="12" t="n">
        <v>3</v>
      </c>
      <c r="N21" s="12" t="n">
        <v>3</v>
      </c>
      <c r="O21" s="12" t="n">
        <v>0</v>
      </c>
      <c r="P21" s="12" t="n">
        <v>2358.3885059287</v>
      </c>
      <c r="Q21" s="12" t="n">
        <v>0</v>
      </c>
      <c r="R21" s="12" t="n">
        <v>3200.21416947679</v>
      </c>
      <c r="S21" s="12" t="n">
        <v>412.061843790295</v>
      </c>
      <c r="T21" s="12" t="n">
        <v>231.876509779732</v>
      </c>
      <c r="U21" s="12" t="n">
        <v>152</v>
      </c>
      <c r="V21" s="12" t="n">
        <v>1867.34502612704</v>
      </c>
      <c r="W21" s="8" t="n">
        <f aca="false">E21*((D21+2*WS_PIPE)*(D21+SURR_ABOVE)-PI()*D21^2/4)</f>
        <v>885.669892191336</v>
      </c>
      <c r="X21" s="12" t="n">
        <v>206.030921895148</v>
      </c>
      <c r="Y21" s="12" t="n">
        <v>551</v>
      </c>
      <c r="Z21" s="12" t="n">
        <v>0</v>
      </c>
      <c r="AA21" s="12" t="n">
        <v>4</v>
      </c>
    </row>
    <row r="22" customFormat="false" ht="15" hidden="false" customHeight="false" outlineLevel="0" collapsed="false">
      <c r="A22" s="23" t="s">
        <v>954</v>
      </c>
      <c r="B22" s="23" t="s">
        <v>940</v>
      </c>
      <c r="C22" s="23" t="s">
        <v>953</v>
      </c>
      <c r="D22" s="24" t="n">
        <v>2.07</v>
      </c>
      <c r="E22" s="24" t="n">
        <v>500.736536899099</v>
      </c>
      <c r="F22" s="12" t="n">
        <v>14</v>
      </c>
      <c r="G22" s="12" t="n">
        <v>4</v>
      </c>
      <c r="H22" s="12" t="n">
        <v>0</v>
      </c>
      <c r="I22" s="12" t="n">
        <v>10</v>
      </c>
      <c r="J22" s="12" t="n">
        <v>2</v>
      </c>
      <c r="K22" s="12" t="n">
        <v>6</v>
      </c>
      <c r="L22" s="12" t="n">
        <v>3</v>
      </c>
      <c r="M22" s="12" t="n">
        <v>2</v>
      </c>
      <c r="N22" s="12" t="n">
        <v>0</v>
      </c>
      <c r="O22" s="12" t="n">
        <v>0</v>
      </c>
      <c r="P22" s="12" t="n">
        <v>6077.97655255355</v>
      </c>
      <c r="Q22" s="12" t="n">
        <v>0</v>
      </c>
      <c r="R22" s="12" t="n">
        <v>7653.1969653972</v>
      </c>
      <c r="S22" s="12" t="n">
        <v>1001.4730737982</v>
      </c>
      <c r="T22" s="12" t="n">
        <v>591.720541631746</v>
      </c>
      <c r="U22" s="12" t="n">
        <v>366</v>
      </c>
      <c r="V22" s="12" t="n">
        <v>4683.33261786309</v>
      </c>
      <c r="W22" s="8" t="n">
        <f aca="false">E22*((D22+2*WS_PIPE)*(D22+SURR_ABOVE)-PI()*D22^2/4)</f>
        <v>3144.89955974289</v>
      </c>
      <c r="X22" s="12" t="n">
        <v>500.736536899099</v>
      </c>
      <c r="Y22" s="12" t="n">
        <v>1098</v>
      </c>
      <c r="Z22" s="12" t="n">
        <v>0</v>
      </c>
      <c r="AA22" s="12" t="n">
        <v>4</v>
      </c>
    </row>
    <row r="23" customFormat="false" ht="15" hidden="false" customHeight="false" outlineLevel="0" collapsed="false">
      <c r="A23" s="23" t="s">
        <v>955</v>
      </c>
      <c r="B23" s="23" t="s">
        <v>929</v>
      </c>
      <c r="C23" s="23" t="s">
        <v>932</v>
      </c>
      <c r="D23" s="24" t="n">
        <v>2.07</v>
      </c>
      <c r="E23" s="24" t="n">
        <v>166.212712907145</v>
      </c>
      <c r="F23" s="12" t="n">
        <v>5</v>
      </c>
      <c r="G23" s="12" t="n">
        <v>1</v>
      </c>
      <c r="H23" s="12" t="n">
        <v>0</v>
      </c>
      <c r="I23" s="12" t="n">
        <v>4</v>
      </c>
      <c r="J23" s="12" t="n">
        <v>2</v>
      </c>
      <c r="K23" s="12" t="n">
        <v>0</v>
      </c>
      <c r="L23" s="12" t="n">
        <v>1</v>
      </c>
      <c r="M23" s="12" t="n">
        <v>2</v>
      </c>
      <c r="N23" s="12" t="n">
        <v>0</v>
      </c>
      <c r="O23" s="12" t="n">
        <v>0</v>
      </c>
      <c r="P23" s="12" t="n">
        <v>3492.68080097534</v>
      </c>
      <c r="Q23" s="12" t="n">
        <v>0</v>
      </c>
      <c r="R23" s="12" t="n">
        <v>3656.67968395719</v>
      </c>
      <c r="S23" s="12" t="n">
        <v>332.42542581429</v>
      </c>
      <c r="T23" s="12" t="n">
        <v>251.716334636116</v>
      </c>
      <c r="U23" s="12" t="n">
        <v>124</v>
      </c>
      <c r="V23" s="12" t="n">
        <v>2702.25948992694</v>
      </c>
      <c r="W23" s="8" t="n">
        <f aca="false">E23*((D23+2*WS_PIPE)*(D23+SURR_ABOVE)-PI()*D23^2/4)</f>
        <v>1043.90682350124</v>
      </c>
      <c r="X23" s="12" t="n">
        <v>166.212712907145</v>
      </c>
      <c r="Y23" s="12" t="n">
        <v>304</v>
      </c>
      <c r="Z23" s="12" t="n">
        <v>0</v>
      </c>
      <c r="AA23" s="12" t="n">
        <v>5</v>
      </c>
    </row>
    <row r="24" customFormat="false" ht="15" hidden="false" customHeight="false" outlineLevel="0" collapsed="false">
      <c r="A24" s="23" t="s">
        <v>956</v>
      </c>
      <c r="B24" s="23" t="s">
        <v>940</v>
      </c>
      <c r="C24" s="23" t="s">
        <v>953</v>
      </c>
      <c r="D24" s="24" t="n">
        <v>1.4</v>
      </c>
      <c r="E24" s="24" t="n">
        <v>257.971514513196</v>
      </c>
      <c r="F24" s="12" t="n">
        <v>16</v>
      </c>
      <c r="G24" s="12" t="n">
        <v>7</v>
      </c>
      <c r="H24" s="12" t="n">
        <v>0</v>
      </c>
      <c r="I24" s="12" t="n">
        <v>3</v>
      </c>
      <c r="J24" s="12" t="n">
        <v>0</v>
      </c>
      <c r="K24" s="12" t="n">
        <v>18</v>
      </c>
      <c r="L24" s="12" t="n">
        <v>2</v>
      </c>
      <c r="M24" s="12" t="n">
        <v>2</v>
      </c>
      <c r="N24" s="12" t="n">
        <v>3</v>
      </c>
      <c r="O24" s="12" t="n">
        <v>0</v>
      </c>
      <c r="P24" s="12" t="n">
        <v>3388.8037363479</v>
      </c>
      <c r="Q24" s="12" t="n">
        <v>0</v>
      </c>
      <c r="R24" s="12" t="n">
        <v>4751.02620715349</v>
      </c>
      <c r="S24" s="12" t="n">
        <v>515.821160096007</v>
      </c>
      <c r="T24" s="12" t="n">
        <v>270.53068157127</v>
      </c>
      <c r="U24" s="12" t="n">
        <v>177</v>
      </c>
      <c r="V24" s="12" t="n">
        <v>2868.14756324718</v>
      </c>
      <c r="W24" s="8" t="n">
        <f aca="false">E24*((D24+2*WS_PIPE)*(D24+SURR_ABOVE)-PI()*D24^2/4)</f>
        <v>1093.95906061953</v>
      </c>
      <c r="X24" s="12" t="n">
        <v>257.910580048003</v>
      </c>
      <c r="Y24" s="12" t="n">
        <v>1430</v>
      </c>
      <c r="Z24" s="12" t="n">
        <v>0</v>
      </c>
      <c r="AA24" s="12" t="n">
        <v>6</v>
      </c>
    </row>
    <row r="25" customFormat="false" ht="15" hidden="false" customHeight="false" outlineLevel="0" collapsed="false">
      <c r="A25" s="23" t="s">
        <v>957</v>
      </c>
      <c r="B25" s="23" t="s">
        <v>940</v>
      </c>
      <c r="C25" s="23" t="s">
        <v>953</v>
      </c>
      <c r="D25" s="24" t="n">
        <v>2.07</v>
      </c>
      <c r="E25" s="24" t="n">
        <v>294.41343070226</v>
      </c>
      <c r="F25" s="12" t="n">
        <v>12</v>
      </c>
      <c r="G25" s="12" t="n">
        <v>4</v>
      </c>
      <c r="H25" s="12" t="n">
        <v>0</v>
      </c>
      <c r="I25" s="12" t="n">
        <v>0</v>
      </c>
      <c r="J25" s="12" t="n">
        <v>0</v>
      </c>
      <c r="K25" s="12" t="n">
        <v>20</v>
      </c>
      <c r="L25" s="12" t="n">
        <v>0</v>
      </c>
      <c r="M25" s="12" t="n">
        <v>1</v>
      </c>
      <c r="N25" s="12" t="n">
        <v>3</v>
      </c>
      <c r="O25" s="12" t="n">
        <v>0</v>
      </c>
      <c r="P25" s="12" t="n">
        <v>3741.7124581152</v>
      </c>
      <c r="Q25" s="12" t="n">
        <v>0</v>
      </c>
      <c r="R25" s="12" t="n">
        <v>5321.80365507331</v>
      </c>
      <c r="S25" s="12" t="n">
        <v>588.795807507366</v>
      </c>
      <c r="T25" s="12" t="n">
        <v>300.35862206398</v>
      </c>
      <c r="U25" s="12" t="n">
        <v>174</v>
      </c>
      <c r="V25" s="12" t="n">
        <v>3184.87541974115</v>
      </c>
      <c r="W25" s="8" t="n">
        <f aca="false">E25*((D25+2*WS_PIPE)*(D25+SURR_ABOVE)-PI()*D25^2/4)</f>
        <v>1849.07750956569</v>
      </c>
      <c r="X25" s="12" t="n">
        <v>294.397903753683</v>
      </c>
      <c r="Y25" s="12" t="n">
        <v>767</v>
      </c>
      <c r="Z25" s="12" t="n">
        <v>0</v>
      </c>
      <c r="AA25" s="12" t="n">
        <v>7</v>
      </c>
    </row>
    <row r="26" customFormat="false" ht="15" hidden="false" customHeight="false" outlineLevel="0" collapsed="false">
      <c r="A26" s="23" t="s">
        <v>958</v>
      </c>
      <c r="B26" s="23" t="s">
        <v>940</v>
      </c>
      <c r="C26" s="23" t="s">
        <v>941</v>
      </c>
      <c r="D26" s="24" t="n">
        <v>1.6</v>
      </c>
      <c r="E26" s="24" t="n">
        <v>38.6715221406413</v>
      </c>
      <c r="F26" s="12" t="n">
        <v>1</v>
      </c>
      <c r="G26" s="12" t="n">
        <v>2</v>
      </c>
      <c r="H26" s="12" t="n">
        <v>0</v>
      </c>
      <c r="I26" s="12" t="n">
        <v>6</v>
      </c>
      <c r="J26" s="12" t="n">
        <v>0</v>
      </c>
      <c r="K26" s="12" t="n">
        <v>0</v>
      </c>
      <c r="L26" s="12" t="n">
        <v>2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1001.06762151733</v>
      </c>
      <c r="R26" s="12" t="n">
        <v>0</v>
      </c>
      <c r="S26" s="12" t="n">
        <v>0</v>
      </c>
      <c r="T26" s="12" t="n">
        <v>44.7264886065221</v>
      </c>
      <c r="U26" s="12" t="n">
        <v>28</v>
      </c>
      <c r="V26" s="12" t="n">
        <v>887.165777440982</v>
      </c>
      <c r="W26" s="8" t="n">
        <f aca="false">E26*((D26+2*WS_PIPE)*(D26+SURR_ABOVE)-PI()*D26^2/4)</f>
        <v>186.759502731475</v>
      </c>
      <c r="X26" s="12" t="n">
        <v>37.5875732857337</v>
      </c>
      <c r="Y26" s="12" t="n">
        <v>178</v>
      </c>
      <c r="Z26" s="12" t="n">
        <v>0</v>
      </c>
      <c r="AA26" s="12" t="n">
        <v>0</v>
      </c>
    </row>
    <row r="27" customFormat="false" ht="15" hidden="false" customHeight="false" outlineLevel="0" collapsed="false">
      <c r="A27" s="23" t="s">
        <v>959</v>
      </c>
      <c r="B27" s="23" t="s">
        <v>940</v>
      </c>
      <c r="C27" s="23" t="s">
        <v>941</v>
      </c>
      <c r="D27" s="24" t="n">
        <v>1.6</v>
      </c>
      <c r="E27" s="24" t="n">
        <v>39.1758220418018</v>
      </c>
      <c r="F27" s="12" t="n">
        <v>1</v>
      </c>
      <c r="G27" s="12" t="n">
        <v>2</v>
      </c>
      <c r="H27" s="12" t="n">
        <v>0</v>
      </c>
      <c r="I27" s="12" t="n">
        <v>6</v>
      </c>
      <c r="J27" s="12" t="n">
        <v>0</v>
      </c>
      <c r="K27" s="12" t="n">
        <v>0</v>
      </c>
      <c r="L27" s="12" t="n">
        <v>2</v>
      </c>
      <c r="M27" s="12" t="n">
        <v>0</v>
      </c>
      <c r="N27" s="12" t="n">
        <v>0</v>
      </c>
      <c r="O27" s="12" t="n">
        <v>0</v>
      </c>
      <c r="P27" s="12" t="n">
        <v>333.0857601143</v>
      </c>
      <c r="Q27" s="12" t="n">
        <v>84.5006213584185</v>
      </c>
      <c r="R27" s="12" t="n">
        <v>392.525000002374</v>
      </c>
      <c r="S27" s="12" t="n">
        <v>56.0750000003391</v>
      </c>
      <c r="T27" s="12" t="n">
        <v>45.114282513398</v>
      </c>
      <c r="U27" s="12" t="n">
        <v>28</v>
      </c>
      <c r="V27" s="12" t="n">
        <v>302.69690915332</v>
      </c>
      <c r="W27" s="8" t="n">
        <f aca="false">E27*((D27+2*WS_PIPE)*(D27+SURR_ABOVE)-PI()*D27^2/4)</f>
        <v>189.19495894201</v>
      </c>
      <c r="X27" s="12" t="n">
        <v>38.0884809423306</v>
      </c>
      <c r="Y27" s="12" t="n">
        <v>169</v>
      </c>
      <c r="Z27" s="12" t="n">
        <v>0</v>
      </c>
      <c r="AA27" s="12" t="n">
        <v>0</v>
      </c>
    </row>
    <row r="28" customFormat="false" ht="15" hidden="false" customHeight="false" outlineLevel="0" collapsed="false">
      <c r="A28" s="23" t="s">
        <v>960</v>
      </c>
      <c r="B28" s="23" t="s">
        <v>940</v>
      </c>
      <c r="C28" s="23" t="s">
        <v>941</v>
      </c>
      <c r="D28" s="24" t="n">
        <v>1.6</v>
      </c>
      <c r="E28" s="24" t="n">
        <v>39.5526599678012</v>
      </c>
      <c r="F28" s="12" t="n">
        <v>1</v>
      </c>
      <c r="G28" s="12" t="n">
        <v>2</v>
      </c>
      <c r="H28" s="12" t="n">
        <v>0</v>
      </c>
      <c r="I28" s="12" t="n">
        <v>6</v>
      </c>
      <c r="J28" s="12" t="n">
        <v>0</v>
      </c>
      <c r="K28" s="12" t="n">
        <v>0</v>
      </c>
      <c r="L28" s="12" t="n">
        <v>2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988.52071724747</v>
      </c>
      <c r="R28" s="12" t="n">
        <v>0</v>
      </c>
      <c r="S28" s="12" t="n">
        <v>0</v>
      </c>
      <c r="T28" s="12" t="n">
        <v>45.0884261384289</v>
      </c>
      <c r="U28" s="12" t="n">
        <v>28</v>
      </c>
      <c r="V28" s="12" t="n">
        <v>873.69723342764</v>
      </c>
      <c r="W28" s="8" t="n">
        <f aca="false">E28*((D28+2*WS_PIPE)*(D28+SURR_ABOVE)-PI()*D28^2/4)</f>
        <v>191.014852749501</v>
      </c>
      <c r="X28" s="12" t="n">
        <v>38.29882416476</v>
      </c>
      <c r="Y28" s="12" t="n">
        <v>237</v>
      </c>
      <c r="Z28" s="12" t="n">
        <v>0</v>
      </c>
      <c r="AA28" s="12" t="n">
        <v>1</v>
      </c>
    </row>
    <row r="29" customFormat="false" ht="15" hidden="false" customHeight="false" outlineLevel="0" collapsed="false">
      <c r="A29" s="23" t="s">
        <v>961</v>
      </c>
      <c r="B29" s="23" t="s">
        <v>940</v>
      </c>
      <c r="C29" s="23" t="s">
        <v>941</v>
      </c>
      <c r="D29" s="24" t="n">
        <v>1.6</v>
      </c>
      <c r="E29" s="24" t="n">
        <v>39.434078801696</v>
      </c>
      <c r="F29" s="12" t="n">
        <v>1</v>
      </c>
      <c r="G29" s="12" t="n">
        <v>2</v>
      </c>
      <c r="H29" s="12" t="n">
        <v>0</v>
      </c>
      <c r="I29" s="12" t="n">
        <v>6</v>
      </c>
      <c r="J29" s="12" t="n">
        <v>0</v>
      </c>
      <c r="K29" s="12" t="n">
        <v>0</v>
      </c>
      <c r="L29" s="12" t="n">
        <v>2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988.3715913052</v>
      </c>
      <c r="R29" s="12" t="n">
        <v>0</v>
      </c>
      <c r="S29" s="12" t="n">
        <v>0</v>
      </c>
      <c r="T29" s="12" t="n">
        <v>45.0547191687858</v>
      </c>
      <c r="U29" s="12" t="n">
        <v>28</v>
      </c>
      <c r="V29" s="12" t="n">
        <v>873.633959685546</v>
      </c>
      <c r="W29" s="8" t="n">
        <f aca="false">E29*((D29+2*WS_PIPE)*(D29+SURR_ABOVE)-PI()*D29^2/4)</f>
        <v>190.442179154327</v>
      </c>
      <c r="X29" s="12" t="n">
        <v>38.1765969386905</v>
      </c>
      <c r="Y29" s="12" t="n">
        <v>246</v>
      </c>
      <c r="Z29" s="12" t="n">
        <v>0</v>
      </c>
      <c r="AA29" s="12" t="n">
        <v>1</v>
      </c>
    </row>
    <row r="30" customFormat="false" ht="15" hidden="false" customHeight="false" outlineLevel="0" collapsed="false">
      <c r="A30" s="23" t="s">
        <v>962</v>
      </c>
      <c r="B30" s="23" t="s">
        <v>940</v>
      </c>
      <c r="C30" s="23" t="s">
        <v>941</v>
      </c>
      <c r="D30" s="24" t="n">
        <v>1.6</v>
      </c>
      <c r="E30" s="24" t="n">
        <v>38.998581892465</v>
      </c>
      <c r="F30" s="12" t="n">
        <v>1</v>
      </c>
      <c r="G30" s="12" t="n">
        <v>2</v>
      </c>
      <c r="H30" s="12" t="n">
        <v>0</v>
      </c>
      <c r="I30" s="12" t="n">
        <v>6</v>
      </c>
      <c r="J30" s="12" t="n">
        <v>0</v>
      </c>
      <c r="K30" s="12" t="n">
        <v>0</v>
      </c>
      <c r="L30" s="12" t="n">
        <v>2</v>
      </c>
      <c r="M30" s="12" t="n">
        <v>0</v>
      </c>
      <c r="N30" s="12" t="n">
        <v>0</v>
      </c>
      <c r="O30" s="12" t="n">
        <v>0</v>
      </c>
      <c r="P30" s="12" t="n">
        <v>329.976384069235</v>
      </c>
      <c r="Q30" s="12" t="n">
        <v>64.9253608857777</v>
      </c>
      <c r="R30" s="12" t="n">
        <v>388.885460707907</v>
      </c>
      <c r="S30" s="12" t="n">
        <v>55.5550658154153</v>
      </c>
      <c r="T30" s="12" t="n">
        <v>45.0291629548492</v>
      </c>
      <c r="U30" s="12" t="n">
        <v>28</v>
      </c>
      <c r="V30" s="12" t="n">
        <v>280.228920221821</v>
      </c>
      <c r="W30" s="8" t="n">
        <f aca="false">E30*((D30+2*WS_PIPE)*(D30+SURR_ABOVE)-PI()*D30^2/4)</f>
        <v>188.338998785236</v>
      </c>
      <c r="X30" s="12" t="n">
        <v>37.7775329074911</v>
      </c>
      <c r="Y30" s="12" t="n">
        <v>185</v>
      </c>
      <c r="Z30" s="12" t="n">
        <v>0</v>
      </c>
      <c r="AA30" s="12" t="n">
        <v>0</v>
      </c>
    </row>
    <row r="31" customFormat="false" ht="15" hidden="false" customHeight="false" outlineLevel="0" collapsed="false">
      <c r="A31" s="23" t="s">
        <v>963</v>
      </c>
      <c r="B31" s="23" t="s">
        <v>940</v>
      </c>
      <c r="C31" s="23" t="s">
        <v>941</v>
      </c>
      <c r="D31" s="24" t="n">
        <v>1.6</v>
      </c>
      <c r="E31" s="24" t="n">
        <v>39.393592999449</v>
      </c>
      <c r="F31" s="12" t="n">
        <v>1</v>
      </c>
      <c r="G31" s="12" t="n">
        <v>2</v>
      </c>
      <c r="H31" s="12" t="n">
        <v>0</v>
      </c>
      <c r="I31" s="12" t="n">
        <v>6</v>
      </c>
      <c r="J31" s="12" t="n">
        <v>0</v>
      </c>
      <c r="K31" s="12" t="n">
        <v>0</v>
      </c>
      <c r="L31" s="12" t="n">
        <v>2</v>
      </c>
      <c r="M31" s="12" t="n">
        <v>0</v>
      </c>
      <c r="N31" s="12" t="n">
        <v>0</v>
      </c>
      <c r="O31" s="12" t="n">
        <v>0</v>
      </c>
      <c r="P31" s="12" t="n">
        <v>332.687575856638</v>
      </c>
      <c r="Q31" s="12" t="n">
        <v>67.2762947314977</v>
      </c>
      <c r="R31" s="12" t="n">
        <v>392.056000000773</v>
      </c>
      <c r="S31" s="12" t="n">
        <v>56.0080000001104</v>
      </c>
      <c r="T31" s="12" t="n">
        <v>45.035103061719</v>
      </c>
      <c r="U31" s="12" t="n">
        <v>28</v>
      </c>
      <c r="V31" s="12" t="n">
        <v>285.276066346138</v>
      </c>
      <c r="W31" s="8" t="n">
        <f aca="false">E31*((D31+2*WS_PIPE)*(D31+SURR_ABOVE)-PI()*D31^2/4)</f>
        <v>190.246657802263</v>
      </c>
      <c r="X31" s="12" t="n">
        <v>38.1234150651088</v>
      </c>
      <c r="Y31" s="12" t="n">
        <v>155</v>
      </c>
      <c r="Z31" s="12" t="n">
        <v>0</v>
      </c>
      <c r="AA31" s="12" t="n">
        <v>0</v>
      </c>
    </row>
    <row r="32" customFormat="false" ht="15" hidden="false" customHeight="false" outlineLevel="0" collapsed="false">
      <c r="A32" s="23" t="s">
        <v>964</v>
      </c>
      <c r="B32" s="23" t="s">
        <v>940</v>
      </c>
      <c r="C32" s="23" t="s">
        <v>941</v>
      </c>
      <c r="D32" s="24" t="n">
        <v>1.6</v>
      </c>
      <c r="E32" s="24" t="n">
        <v>39.5955963925555</v>
      </c>
      <c r="F32" s="12" t="n">
        <v>1</v>
      </c>
      <c r="G32" s="12" t="n">
        <v>2</v>
      </c>
      <c r="H32" s="12" t="n">
        <v>0</v>
      </c>
      <c r="I32" s="12" t="n">
        <v>3</v>
      </c>
      <c r="J32" s="12" t="n">
        <v>0</v>
      </c>
      <c r="K32" s="12" t="n">
        <v>0</v>
      </c>
      <c r="L32" s="12" t="n">
        <v>2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1012.6890167661</v>
      </c>
      <c r="R32" s="12" t="n">
        <v>0</v>
      </c>
      <c r="S32" s="12" t="n">
        <v>0</v>
      </c>
      <c r="T32" s="12" t="n">
        <v>46.0071394447081</v>
      </c>
      <c r="U32" s="12" t="n">
        <v>28</v>
      </c>
      <c r="V32" s="12" t="n">
        <v>895.525925700906</v>
      </c>
      <c r="W32" s="8" t="n">
        <f aca="false">E32*((D32+2*WS_PIPE)*(D32+SURR_ABOVE)-PI()*D32^2/4)</f>
        <v>191.22220909061</v>
      </c>
      <c r="X32" s="12" t="n">
        <v>38.3838097576448</v>
      </c>
      <c r="Y32" s="12" t="n">
        <v>198</v>
      </c>
      <c r="Z32" s="12" t="n">
        <v>0</v>
      </c>
      <c r="AA32" s="12" t="n">
        <v>0</v>
      </c>
    </row>
    <row r="33" customFormat="false" ht="15" hidden="false" customHeight="false" outlineLevel="0" collapsed="false">
      <c r="A33" s="23" t="s">
        <v>965</v>
      </c>
      <c r="B33" s="23" t="s">
        <v>940</v>
      </c>
      <c r="C33" s="23" t="s">
        <v>941</v>
      </c>
      <c r="D33" s="24" t="n">
        <v>1.6</v>
      </c>
      <c r="E33" s="24" t="n">
        <v>37.5574101480663</v>
      </c>
      <c r="F33" s="12" t="n">
        <v>1</v>
      </c>
      <c r="G33" s="12" t="n">
        <v>2</v>
      </c>
      <c r="H33" s="12" t="n">
        <v>0</v>
      </c>
      <c r="I33" s="12" t="n">
        <v>5</v>
      </c>
      <c r="J33" s="12" t="n">
        <v>0</v>
      </c>
      <c r="K33" s="12" t="n">
        <v>0</v>
      </c>
      <c r="L33" s="12" t="n">
        <v>2</v>
      </c>
      <c r="M33" s="12" t="n">
        <v>0</v>
      </c>
      <c r="N33" s="12" t="n">
        <v>0</v>
      </c>
      <c r="O33" s="12" t="n">
        <v>0</v>
      </c>
      <c r="P33" s="12" t="n">
        <v>312.43487601443</v>
      </c>
      <c r="Q33" s="12" t="n">
        <v>64.4098971180514</v>
      </c>
      <c r="R33" s="12" t="n">
        <v>368.20184266245</v>
      </c>
      <c r="S33" s="12" t="n">
        <v>52.6002632374929</v>
      </c>
      <c r="T33" s="12" t="n">
        <v>42.8052072870021</v>
      </c>
      <c r="U33" s="12" t="n">
        <v>28</v>
      </c>
      <c r="V33" s="12" t="n">
        <v>267.835626488471</v>
      </c>
      <c r="W33" s="8" t="n">
        <f aca="false">E33*((D33+2*WS_PIPE)*(D33+SURR_ABOVE)-PI()*D33^2/4)</f>
        <v>181.379031774998</v>
      </c>
      <c r="X33" s="12" t="n">
        <v>36.3001316189151</v>
      </c>
      <c r="Y33" s="12" t="n">
        <v>202</v>
      </c>
      <c r="Z33" s="12" t="n">
        <v>0</v>
      </c>
      <c r="AA33" s="12" t="n">
        <v>1</v>
      </c>
    </row>
    <row r="34" customFormat="false" ht="15" hidden="false" customHeight="false" outlineLevel="0" collapsed="false">
      <c r="A34" s="23" t="s">
        <v>966</v>
      </c>
      <c r="B34" s="23" t="s">
        <v>940</v>
      </c>
      <c r="C34" s="23" t="s">
        <v>941</v>
      </c>
      <c r="D34" s="24" t="n">
        <v>1.6</v>
      </c>
      <c r="E34" s="24" t="n">
        <v>38.847821490148</v>
      </c>
      <c r="F34" s="12" t="n">
        <v>1</v>
      </c>
      <c r="G34" s="12" t="n">
        <v>2</v>
      </c>
      <c r="H34" s="12" t="n">
        <v>0</v>
      </c>
      <c r="I34" s="12" t="n">
        <v>6</v>
      </c>
      <c r="J34" s="12" t="n">
        <v>0</v>
      </c>
      <c r="K34" s="12" t="n">
        <v>0</v>
      </c>
      <c r="L34" s="12" t="n">
        <v>2</v>
      </c>
      <c r="M34" s="12" t="n">
        <v>0</v>
      </c>
      <c r="N34" s="12" t="n">
        <v>0</v>
      </c>
      <c r="O34" s="12" t="n">
        <v>0</v>
      </c>
      <c r="P34" s="12" t="n">
        <v>9.26069392293735</v>
      </c>
      <c r="Q34" s="12" t="n">
        <v>965.647600482716</v>
      </c>
      <c r="R34" s="12" t="n">
        <v>11.7596338394657</v>
      </c>
      <c r="S34" s="12" t="n">
        <v>1.67994769135224</v>
      </c>
      <c r="T34" s="12" t="n">
        <v>44.6944680854336</v>
      </c>
      <c r="U34" s="12" t="n">
        <v>28</v>
      </c>
      <c r="V34" s="12" t="n">
        <v>861.088313590957</v>
      </c>
      <c r="W34" s="8" t="n">
        <f aca="false">E34*((D34+2*WS_PIPE)*(D34+SURR_ABOVE)-PI()*D34^2/4)</f>
        <v>187.610919407706</v>
      </c>
      <c r="X34" s="12" t="n">
        <v>37.5871894306267</v>
      </c>
      <c r="Y34" s="12" t="n">
        <v>244</v>
      </c>
      <c r="Z34" s="12" t="n">
        <v>0</v>
      </c>
      <c r="AA34" s="12" t="n">
        <v>0</v>
      </c>
    </row>
    <row r="35" customFormat="false" ht="15" hidden="false" customHeight="false" outlineLevel="0" collapsed="false">
      <c r="A35" s="23" t="s">
        <v>967</v>
      </c>
      <c r="B35" s="23" t="s">
        <v>940</v>
      </c>
      <c r="C35" s="23" t="s">
        <v>941</v>
      </c>
      <c r="D35" s="24" t="n">
        <v>1.6</v>
      </c>
      <c r="E35" s="24" t="n">
        <v>39.3273147931887</v>
      </c>
      <c r="F35" s="12" t="n">
        <v>2</v>
      </c>
      <c r="G35" s="12" t="n">
        <v>4</v>
      </c>
      <c r="H35" s="12" t="n">
        <v>0</v>
      </c>
      <c r="I35" s="12" t="n">
        <v>5</v>
      </c>
      <c r="J35" s="12" t="n">
        <v>0</v>
      </c>
      <c r="K35" s="12" t="n">
        <v>0</v>
      </c>
      <c r="L35" s="12" t="n">
        <v>2</v>
      </c>
      <c r="M35" s="12" t="n">
        <v>0</v>
      </c>
      <c r="N35" s="12" t="n">
        <v>0</v>
      </c>
      <c r="O35" s="12" t="n">
        <v>0</v>
      </c>
      <c r="P35" s="12" t="n">
        <v>1.42767641507064</v>
      </c>
      <c r="Q35" s="12" t="n">
        <v>995.266048736176</v>
      </c>
      <c r="R35" s="12" t="n">
        <v>1.70017242684015</v>
      </c>
      <c r="S35" s="12" t="n">
        <v>0.242881775262879</v>
      </c>
      <c r="T35" s="12" t="n">
        <v>45.0268684188115</v>
      </c>
      <c r="U35" s="12" t="n">
        <v>32</v>
      </c>
      <c r="V35" s="12" t="n">
        <v>882.027046104611</v>
      </c>
      <c r="W35" s="8" t="n">
        <f aca="false">E35*((D35+2*WS_PIPE)*(D35+SURR_ABOVE)-PI()*D35^2/4)</f>
        <v>189.926575112006</v>
      </c>
      <c r="X35" s="12" t="n">
        <v>38.0645608883186</v>
      </c>
      <c r="Y35" s="12" t="n">
        <v>440</v>
      </c>
      <c r="Z35" s="12" t="n">
        <v>0</v>
      </c>
      <c r="AA35" s="12" t="n">
        <v>1</v>
      </c>
    </row>
    <row r="36" customFormat="false" ht="15" hidden="false" customHeight="false" outlineLevel="0" collapsed="false">
      <c r="A36" s="23" t="s">
        <v>968</v>
      </c>
      <c r="B36" s="23" t="s">
        <v>940</v>
      </c>
      <c r="C36" s="23" t="s">
        <v>941</v>
      </c>
      <c r="D36" s="24" t="n">
        <v>1.6</v>
      </c>
      <c r="E36" s="24" t="n">
        <v>38.9200014837313</v>
      </c>
      <c r="F36" s="12" t="n">
        <v>1</v>
      </c>
      <c r="G36" s="12" t="n">
        <v>2</v>
      </c>
      <c r="H36" s="12" t="n">
        <v>0</v>
      </c>
      <c r="I36" s="12" t="n">
        <v>6</v>
      </c>
      <c r="J36" s="12" t="n">
        <v>0</v>
      </c>
      <c r="K36" s="12" t="n">
        <v>0</v>
      </c>
      <c r="L36" s="12" t="n">
        <v>2</v>
      </c>
      <c r="M36" s="12" t="n">
        <v>0</v>
      </c>
      <c r="N36" s="12" t="n">
        <v>0</v>
      </c>
      <c r="O36" s="12" t="n">
        <v>0</v>
      </c>
      <c r="P36" s="12" t="n">
        <v>329.283091846103</v>
      </c>
      <c r="Q36" s="12" t="n">
        <v>61.6461890566545</v>
      </c>
      <c r="R36" s="12" t="n">
        <v>388.1411427186</v>
      </c>
      <c r="S36" s="12" t="n">
        <v>55.4487346740858</v>
      </c>
      <c r="T36" s="12" t="n">
        <v>45.0314683601708</v>
      </c>
      <c r="U36" s="12" t="n">
        <v>28</v>
      </c>
      <c r="V36" s="12" t="n">
        <v>276.250604213522</v>
      </c>
      <c r="W36" s="8" t="n">
        <f aca="false">E36*((D36+2*WS_PIPE)*(D36+SURR_ABOVE)-PI()*D36^2/4)</f>
        <v>187.959504075766</v>
      </c>
      <c r="X36" s="12" t="n">
        <v>37.7243673381659</v>
      </c>
      <c r="Y36" s="12" t="n">
        <v>228</v>
      </c>
      <c r="Z36" s="12" t="n">
        <v>0</v>
      </c>
      <c r="AA36" s="12" t="n">
        <v>0</v>
      </c>
    </row>
    <row r="37" customFormat="false" ht="15" hidden="false" customHeight="false" outlineLevel="0" collapsed="false">
      <c r="A37" s="23" t="s">
        <v>969</v>
      </c>
      <c r="B37" s="23" t="s">
        <v>940</v>
      </c>
      <c r="C37" s="23" t="s">
        <v>941</v>
      </c>
      <c r="D37" s="24" t="n">
        <v>1.6</v>
      </c>
      <c r="E37" s="24" t="n">
        <v>39.3721181198441</v>
      </c>
      <c r="F37" s="12" t="n">
        <v>1</v>
      </c>
      <c r="G37" s="12" t="n">
        <v>2</v>
      </c>
      <c r="H37" s="12" t="n">
        <v>0</v>
      </c>
      <c r="I37" s="12" t="n">
        <v>6</v>
      </c>
      <c r="J37" s="12" t="n">
        <v>0</v>
      </c>
      <c r="K37" s="12" t="n">
        <v>0</v>
      </c>
      <c r="L37" s="12" t="n">
        <v>2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998.259785434633</v>
      </c>
      <c r="R37" s="12" t="n">
        <v>0</v>
      </c>
      <c r="S37" s="12" t="n">
        <v>0</v>
      </c>
      <c r="T37" s="12" t="n">
        <v>45.0004601130656</v>
      </c>
      <c r="U37" s="12" t="n">
        <v>28</v>
      </c>
      <c r="V37" s="12" t="n">
        <v>883.660395376395</v>
      </c>
      <c r="W37" s="8" t="n">
        <f aca="false">E37*((D37+2*WS_PIPE)*(D37+SURR_ABOVE)-PI()*D37^2/4)</f>
        <v>190.142947433128</v>
      </c>
      <c r="X37" s="12" t="n">
        <v>38.1114855382193</v>
      </c>
      <c r="Y37" s="12" t="n">
        <v>218</v>
      </c>
      <c r="Z37" s="12" t="n">
        <v>0</v>
      </c>
      <c r="AA37" s="12" t="n">
        <v>0</v>
      </c>
    </row>
    <row r="38" customFormat="false" ht="15" hidden="false" customHeight="false" outlineLevel="0" collapsed="false">
      <c r="A38" s="23" t="s">
        <v>970</v>
      </c>
      <c r="B38" s="23" t="s">
        <v>929</v>
      </c>
      <c r="C38" s="23" t="s">
        <v>936</v>
      </c>
      <c r="D38" s="24" t="n">
        <v>2.276</v>
      </c>
      <c r="E38" s="24" t="n">
        <v>368.075710852994</v>
      </c>
      <c r="F38" s="12" t="n">
        <v>5</v>
      </c>
      <c r="G38" s="12" t="n">
        <v>1</v>
      </c>
      <c r="H38" s="12" t="n">
        <v>0</v>
      </c>
      <c r="I38" s="12" t="n">
        <v>14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5321.79498257509</v>
      </c>
      <c r="Q38" s="12" t="n">
        <v>686.507643299477</v>
      </c>
      <c r="R38" s="12" t="n">
        <v>5569.17542643774</v>
      </c>
      <c r="S38" s="12" t="n">
        <v>696.146928304718</v>
      </c>
      <c r="T38" s="12" t="n">
        <v>599.047571536406</v>
      </c>
      <c r="U38" s="12" t="n">
        <v>262</v>
      </c>
      <c r="V38" s="12" t="n">
        <v>3939.15721620107</v>
      </c>
      <c r="W38" s="8" t="n">
        <f aca="false">E38*((D38+2*WS_PIPE)*(D38+SURR_ABOVE)-PI()*D38^2/4)</f>
        <v>2556.82882790602</v>
      </c>
      <c r="X38" s="12" t="n">
        <v>368.073464151873</v>
      </c>
      <c r="Y38" s="12" t="n">
        <v>654</v>
      </c>
      <c r="Z38" s="12" t="n">
        <v>0</v>
      </c>
      <c r="AA38" s="12" t="n">
        <v>5</v>
      </c>
    </row>
    <row r="39" customFormat="false" ht="15" hidden="false" customHeight="false" outlineLevel="0" collapsed="false">
      <c r="A39" s="23" t="s">
        <v>971</v>
      </c>
      <c r="B39" s="23" t="s">
        <v>929</v>
      </c>
      <c r="C39" s="23" t="s">
        <v>936</v>
      </c>
      <c r="D39" s="24" t="n">
        <v>2.276</v>
      </c>
      <c r="E39" s="24" t="n">
        <v>375.063261836813</v>
      </c>
      <c r="F39" s="12" t="n">
        <v>2</v>
      </c>
      <c r="G39" s="12" t="n">
        <v>1</v>
      </c>
      <c r="H39" s="12" t="n">
        <v>0</v>
      </c>
      <c r="I39" s="12" t="n">
        <v>14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5579.24480138075</v>
      </c>
      <c r="Q39" s="12" t="n">
        <v>358.29520481655</v>
      </c>
      <c r="R39" s="12" t="n">
        <v>5832.66880057661</v>
      </c>
      <c r="S39" s="12" t="n">
        <v>729.083600072076</v>
      </c>
      <c r="T39" s="12" t="n">
        <v>611.872849618694</v>
      </c>
      <c r="U39" s="12" t="n">
        <v>256</v>
      </c>
      <c r="V39" s="12" t="n">
        <v>3817.33246822451</v>
      </c>
      <c r="W39" s="8" t="n">
        <f aca="false">E39*((D39+2*WS_PIPE)*(D39+SURR_ABOVE)-PI()*D39^2/4)</f>
        <v>2605.36767810748</v>
      </c>
      <c r="X39" s="12" t="n">
        <v>375.060939798057</v>
      </c>
      <c r="Y39" s="12" t="n">
        <v>186</v>
      </c>
      <c r="Z39" s="12" t="n">
        <v>0</v>
      </c>
      <c r="AA39" s="12" t="n">
        <v>2</v>
      </c>
    </row>
    <row r="40" customFormat="false" ht="15" hidden="false" customHeight="false" outlineLevel="0" collapsed="false">
      <c r="A40" s="23" t="s">
        <v>972</v>
      </c>
      <c r="B40" s="23" t="s">
        <v>929</v>
      </c>
      <c r="C40" s="23" t="s">
        <v>973</v>
      </c>
      <c r="D40" s="24" t="n">
        <v>1.863</v>
      </c>
      <c r="E40" s="24" t="n">
        <v>115.24422298379</v>
      </c>
      <c r="F40" s="12" t="n">
        <v>3</v>
      </c>
      <c r="G40" s="12" t="n">
        <v>1</v>
      </c>
      <c r="H40" s="12" t="n">
        <v>10</v>
      </c>
      <c r="I40" s="12" t="n">
        <v>0</v>
      </c>
      <c r="J40" s="12" t="n">
        <v>4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1642.93280921446</v>
      </c>
      <c r="Q40" s="12" t="n">
        <v>0</v>
      </c>
      <c r="R40" s="12" t="n">
        <v>1838.86210023679</v>
      </c>
      <c r="S40" s="12" t="n">
        <v>230.484285858331</v>
      </c>
      <c r="T40" s="12" t="n">
        <v>164.730105621644</v>
      </c>
      <c r="U40" s="12" t="n">
        <v>86</v>
      </c>
      <c r="V40" s="12" t="n">
        <v>1165.41155999255</v>
      </c>
      <c r="W40" s="8" t="n">
        <f aca="false">E40*((D40+2*WS_PIPE)*(D40+SURR_ABOVE)-PI()*D40^2/4)</f>
        <v>648.794251499004</v>
      </c>
      <c r="X40" s="12" t="n">
        <v>115.242142929165</v>
      </c>
      <c r="Y40" s="12" t="n">
        <v>314</v>
      </c>
      <c r="Z40" s="12" t="n">
        <v>0</v>
      </c>
      <c r="AA40" s="12" t="n">
        <v>3</v>
      </c>
    </row>
    <row r="41" customFormat="false" ht="15" hidden="false" customHeight="false" outlineLevel="0" collapsed="false">
      <c r="A41" s="23" t="s">
        <v>974</v>
      </c>
      <c r="B41" s="23" t="s">
        <v>929</v>
      </c>
      <c r="C41" s="23" t="s">
        <v>973</v>
      </c>
      <c r="D41" s="24" t="n">
        <v>1.863</v>
      </c>
      <c r="E41" s="24" t="n">
        <v>109.725851614148</v>
      </c>
      <c r="F41" s="12" t="n">
        <v>2</v>
      </c>
      <c r="G41" s="12" t="n">
        <v>1</v>
      </c>
      <c r="H41" s="12" t="n">
        <v>6</v>
      </c>
      <c r="I41" s="12" t="n">
        <v>0</v>
      </c>
      <c r="J41" s="12" t="n">
        <v>4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1570.05776609771</v>
      </c>
      <c r="Q41" s="12" t="n">
        <v>0</v>
      </c>
      <c r="R41" s="12" t="n">
        <v>1755.605444796</v>
      </c>
      <c r="S41" s="12" t="n">
        <v>219.450680599501</v>
      </c>
      <c r="T41" s="12" t="n">
        <v>156.83398852988</v>
      </c>
      <c r="U41" s="12" t="n">
        <v>78</v>
      </c>
      <c r="V41" s="12" t="n">
        <v>1115.46419635431</v>
      </c>
      <c r="W41" s="8" t="n">
        <f aca="false">E41*((D41+2*WS_PIPE)*(D41+SURR_ABOVE)-PI()*D41^2/4)</f>
        <v>617.727291875667</v>
      </c>
      <c r="X41" s="12" t="n">
        <v>109.72534029975</v>
      </c>
      <c r="Y41" s="12" t="n">
        <v>191</v>
      </c>
      <c r="Z41" s="12" t="n">
        <v>0</v>
      </c>
      <c r="AA41" s="12" t="n">
        <v>2</v>
      </c>
    </row>
    <row r="42" customFormat="false" ht="15" hidden="false" customHeight="false" outlineLevel="0" collapsed="false">
      <c r="A42" s="23" t="s">
        <v>975</v>
      </c>
      <c r="B42" s="23" t="s">
        <v>929</v>
      </c>
      <c r="C42" s="23" t="s">
        <v>936</v>
      </c>
      <c r="D42" s="24" t="n">
        <v>2.276</v>
      </c>
      <c r="E42" s="24" t="n">
        <v>12.2025900003074</v>
      </c>
      <c r="F42" s="12" t="n">
        <v>1</v>
      </c>
      <c r="G42" s="12" t="n">
        <v>2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289.000565558834</v>
      </c>
      <c r="Q42" s="12" t="n">
        <v>0</v>
      </c>
      <c r="R42" s="12" t="n">
        <v>292.862160007377</v>
      </c>
      <c r="S42" s="12" t="n">
        <v>24.4051800006147</v>
      </c>
      <c r="T42" s="12" t="n">
        <v>19.9902706722763</v>
      </c>
      <c r="U42" s="12" t="n">
        <v>12</v>
      </c>
      <c r="V42" s="12" t="n">
        <v>219.346684566033</v>
      </c>
      <c r="W42" s="8" t="n">
        <f aca="false">E42*((D42+2*WS_PIPE)*(D42+SURR_ABOVE)-PI()*D42^2/4)</f>
        <v>84.7649898321179</v>
      </c>
      <c r="X42" s="12" t="n">
        <v>12.2025900003074</v>
      </c>
      <c r="Y42" s="12" t="n">
        <v>24</v>
      </c>
      <c r="Z42" s="12" t="n">
        <v>0</v>
      </c>
      <c r="AA42" s="12" t="n">
        <v>1</v>
      </c>
    </row>
    <row r="43" customFormat="false" ht="15" hidden="false" customHeight="false" outlineLevel="0" collapsed="false">
      <c r="A43" s="23" t="s">
        <v>976</v>
      </c>
      <c r="B43" s="23" t="s">
        <v>929</v>
      </c>
      <c r="C43" s="23" t="s">
        <v>936</v>
      </c>
      <c r="D43" s="24" t="n">
        <v>2.276</v>
      </c>
      <c r="E43" s="24" t="n">
        <v>12.2103899998167</v>
      </c>
      <c r="F43" s="12" t="n">
        <v>1</v>
      </c>
      <c r="G43" s="12" t="n">
        <v>2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289.185279153847</v>
      </c>
      <c r="Q43" s="12" t="n">
        <v>0</v>
      </c>
      <c r="R43" s="12" t="n">
        <v>293.049359995601</v>
      </c>
      <c r="S43" s="12" t="n">
        <v>24.4207799996334</v>
      </c>
      <c r="T43" s="12" t="n">
        <v>20.0030474493093</v>
      </c>
      <c r="U43" s="12" t="n">
        <v>12</v>
      </c>
      <c r="V43" s="12" t="n">
        <v>219.486884379286</v>
      </c>
      <c r="W43" s="8" t="n">
        <f aca="false">E43*((D43+2*WS_PIPE)*(D43+SURR_ABOVE)-PI()*D43^2/4)</f>
        <v>84.8191723359209</v>
      </c>
      <c r="X43" s="12" t="n">
        <v>12.2103899998167</v>
      </c>
      <c r="Y43" s="12" t="n">
        <v>24</v>
      </c>
      <c r="Z43" s="12" t="n">
        <v>0</v>
      </c>
      <c r="AA43" s="12" t="n">
        <v>1</v>
      </c>
    </row>
    <row r="44" customFormat="false" ht="15" hidden="false" customHeight="false" outlineLevel="0" collapsed="false">
      <c r="A44" s="23" t="s">
        <v>977</v>
      </c>
      <c r="B44" s="23" t="s">
        <v>940</v>
      </c>
      <c r="C44" s="23" t="s">
        <v>978</v>
      </c>
      <c r="D44" s="24" t="n">
        <v>0.63</v>
      </c>
      <c r="E44" s="24" t="n">
        <v>295.133343906718</v>
      </c>
      <c r="F44" s="12" t="n">
        <v>10</v>
      </c>
      <c r="G44" s="12" t="n">
        <v>2</v>
      </c>
      <c r="H44" s="12" t="n">
        <v>0</v>
      </c>
      <c r="I44" s="12" t="n">
        <v>11</v>
      </c>
      <c r="J44" s="12" t="n">
        <v>8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1079.5976204319</v>
      </c>
      <c r="Q44" s="12" t="n">
        <v>1183.23933195485</v>
      </c>
      <c r="R44" s="12" t="n">
        <v>1769.88931877393</v>
      </c>
      <c r="S44" s="12" t="n">
        <v>209.089081295823</v>
      </c>
      <c r="T44" s="12" t="n">
        <v>239.680085726499</v>
      </c>
      <c r="U44" s="12" t="n">
        <v>113</v>
      </c>
      <c r="V44" s="12" t="n">
        <v>1931.49156250483</v>
      </c>
      <c r="W44" s="8" t="n">
        <f aca="false">E44*((D44+2*WS_PIPE)*(D44+SURR_ABOVE)-PI()*D44^2/4)</f>
        <v>629.866342634179</v>
      </c>
      <c r="X44" s="12" t="n">
        <v>294.092612358853</v>
      </c>
      <c r="Y44" s="12" t="n">
        <v>489</v>
      </c>
      <c r="Z44" s="12" t="n">
        <v>0</v>
      </c>
      <c r="AA44" s="12" t="n">
        <v>8</v>
      </c>
    </row>
    <row r="45" customFormat="false" ht="15" hidden="false" customHeight="false" outlineLevel="0" collapsed="false">
      <c r="A45" s="23" t="s">
        <v>979</v>
      </c>
      <c r="B45" s="23" t="s">
        <v>929</v>
      </c>
      <c r="C45" s="23" t="s">
        <v>932</v>
      </c>
      <c r="D45" s="24" t="n">
        <v>2.07</v>
      </c>
      <c r="E45" s="24" t="n">
        <v>126.831104750001</v>
      </c>
      <c r="F45" s="12" t="n">
        <v>2</v>
      </c>
      <c r="G45" s="12" t="n">
        <v>1</v>
      </c>
      <c r="H45" s="12" t="n">
        <v>0</v>
      </c>
      <c r="I45" s="12" t="n">
        <v>0</v>
      </c>
      <c r="J45" s="12" t="n">
        <v>4</v>
      </c>
      <c r="K45" s="12" t="n">
        <v>0</v>
      </c>
      <c r="L45" s="12" t="n">
        <v>1</v>
      </c>
      <c r="M45" s="12" t="n">
        <v>3</v>
      </c>
      <c r="N45" s="12" t="n">
        <v>0</v>
      </c>
      <c r="O45" s="12" t="n">
        <v>0</v>
      </c>
      <c r="P45" s="12" t="n">
        <v>656.432889869213</v>
      </c>
      <c r="Q45" s="12" t="n">
        <v>1077.89767879825</v>
      </c>
      <c r="R45" s="12" t="n">
        <v>699.999999999276</v>
      </c>
      <c r="S45" s="12" t="n">
        <v>139.999999999855</v>
      </c>
      <c r="T45" s="12" t="n">
        <v>189.914991830288</v>
      </c>
      <c r="U45" s="12" t="n">
        <v>92</v>
      </c>
      <c r="V45" s="12" t="n">
        <v>1145.22267913358</v>
      </c>
      <c r="W45" s="8" t="n">
        <f aca="false">E45*((D45+2*WS_PIPE)*(D45+SURR_ABOVE)-PI()*D45^2/4)</f>
        <v>796.568766401717</v>
      </c>
      <c r="X45" s="12" t="n">
        <v>126.831104750001</v>
      </c>
      <c r="Y45" s="12" t="n">
        <v>181</v>
      </c>
      <c r="Z45" s="12" t="n">
        <v>0</v>
      </c>
      <c r="AA45" s="12" t="n">
        <v>2</v>
      </c>
    </row>
    <row r="46" customFormat="false" ht="15" hidden="false" customHeight="false" outlineLevel="0" collapsed="false">
      <c r="A46" s="23" t="s">
        <v>980</v>
      </c>
      <c r="B46" s="23" t="s">
        <v>929</v>
      </c>
      <c r="C46" s="23" t="s">
        <v>981</v>
      </c>
      <c r="D46" s="24" t="n">
        <v>2.484</v>
      </c>
      <c r="E46" s="24" t="n">
        <v>495.217243812027</v>
      </c>
      <c r="F46" s="12" t="n">
        <v>1</v>
      </c>
      <c r="G46" s="12" t="n">
        <v>0</v>
      </c>
      <c r="H46" s="12" t="n">
        <v>0</v>
      </c>
      <c r="I46" s="12" t="n">
        <v>8</v>
      </c>
      <c r="J46" s="12" t="n">
        <v>3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8609.06651371478</v>
      </c>
      <c r="Q46" s="12" t="n">
        <v>0</v>
      </c>
      <c r="R46" s="12" t="n">
        <v>8913.90930170467</v>
      </c>
      <c r="S46" s="12" t="n">
        <v>990.434366856074</v>
      </c>
      <c r="T46" s="12" t="n">
        <v>862.259107342691</v>
      </c>
      <c r="U46" s="12" t="n">
        <v>334</v>
      </c>
      <c r="V46" s="12" t="n">
        <v>5350.10972511747</v>
      </c>
      <c r="W46" s="8" t="n">
        <f aca="false">E46*((D46+2*WS_PIPE)*(D46+SURR_ABOVE)-PI()*D46^2/4)</f>
        <v>3782.14656025635</v>
      </c>
      <c r="X46" s="12" t="n">
        <v>495.217183428037</v>
      </c>
      <c r="Y46" s="12" t="n">
        <v>140</v>
      </c>
      <c r="Z46" s="12" t="n">
        <v>0</v>
      </c>
      <c r="AA46" s="12" t="n">
        <v>1</v>
      </c>
    </row>
    <row r="47" customFormat="false" ht="15" hidden="false" customHeight="false" outlineLevel="0" collapsed="false">
      <c r="A47" s="23" t="s">
        <v>982</v>
      </c>
      <c r="B47" s="23" t="s">
        <v>929</v>
      </c>
      <c r="C47" s="23" t="s">
        <v>981</v>
      </c>
      <c r="D47" s="24" t="n">
        <v>2.484</v>
      </c>
      <c r="E47" s="24" t="n">
        <v>495.715360342306</v>
      </c>
      <c r="F47" s="12" t="n">
        <v>1</v>
      </c>
      <c r="G47" s="12" t="n">
        <v>0</v>
      </c>
      <c r="H47" s="12" t="n">
        <v>0</v>
      </c>
      <c r="I47" s="12" t="n">
        <v>4</v>
      </c>
      <c r="J47" s="12" t="n">
        <v>2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8189.58431918329</v>
      </c>
      <c r="Q47" s="12" t="n">
        <v>0</v>
      </c>
      <c r="R47" s="12" t="n">
        <v>7931.43322702204</v>
      </c>
      <c r="S47" s="12" t="n">
        <v>991.429153377755</v>
      </c>
      <c r="T47" s="12" t="n">
        <v>863.434259462575</v>
      </c>
      <c r="U47" s="12" t="n">
        <v>334</v>
      </c>
      <c r="V47" s="12" t="n">
        <v>4924.64828565927</v>
      </c>
      <c r="W47" s="8" t="n">
        <f aca="false">E47*((D47+2*WS_PIPE)*(D47+SURR_ABOVE)-PI()*D47^2/4)</f>
        <v>3785.95084967709</v>
      </c>
      <c r="X47" s="12" t="n">
        <v>495.714576688877</v>
      </c>
      <c r="Y47" s="12" t="n">
        <v>110</v>
      </c>
      <c r="Z47" s="12" t="n">
        <v>0</v>
      </c>
      <c r="AA47" s="12" t="n">
        <v>1</v>
      </c>
    </row>
    <row r="48" customFormat="false" ht="15" hidden="false" customHeight="false" outlineLevel="0" collapsed="false">
      <c r="A48" s="23" t="s">
        <v>983</v>
      </c>
      <c r="B48" s="23" t="s">
        <v>940</v>
      </c>
      <c r="C48" s="23" t="s">
        <v>984</v>
      </c>
      <c r="D48" s="24" t="n">
        <v>0.5</v>
      </c>
      <c r="E48" s="24" t="n">
        <v>13.545427394128</v>
      </c>
      <c r="F48" s="12" t="n">
        <v>2</v>
      </c>
      <c r="G48" s="12" t="n">
        <v>4</v>
      </c>
      <c r="H48" s="12" t="n">
        <v>0</v>
      </c>
      <c r="I48" s="12" t="n">
        <v>4</v>
      </c>
      <c r="J48" s="12" t="n">
        <v>1</v>
      </c>
      <c r="K48" s="12" t="n">
        <v>0</v>
      </c>
      <c r="L48" s="12" t="n">
        <v>1</v>
      </c>
      <c r="M48" s="12" t="n">
        <v>0</v>
      </c>
      <c r="N48" s="12" t="n">
        <v>0</v>
      </c>
      <c r="O48" s="12" t="n">
        <v>0</v>
      </c>
      <c r="P48" s="12" t="n">
        <v>152.456469158659</v>
      </c>
      <c r="Q48" s="12" t="n">
        <v>0</v>
      </c>
      <c r="R48" s="12" t="n">
        <v>248.908526248326</v>
      </c>
      <c r="S48" s="12" t="n">
        <v>24.8908526248326</v>
      </c>
      <c r="T48" s="12" t="n">
        <v>9.33406947671133</v>
      </c>
      <c r="U48" s="12" t="n">
        <v>8</v>
      </c>
      <c r="V48" s="12" t="n">
        <v>140.67874634439</v>
      </c>
      <c r="W48" s="8" t="n">
        <f aca="false">E48*((D48+2*WS_PIPE)*(D48+SURR_ABOVE)-PI()*D48^2/4)</f>
        <v>24.4312163388106</v>
      </c>
      <c r="X48" s="12" t="n">
        <v>12.4454263124163</v>
      </c>
      <c r="Y48" s="12" t="n">
        <v>26</v>
      </c>
      <c r="Z48" s="12" t="n">
        <v>0</v>
      </c>
      <c r="AA48" s="12" t="n">
        <v>2</v>
      </c>
    </row>
    <row r="49" customFormat="false" ht="15" hidden="false" customHeight="false" outlineLevel="0" collapsed="false">
      <c r="A49" s="23" t="s">
        <v>985</v>
      </c>
      <c r="B49" s="23" t="s">
        <v>940</v>
      </c>
      <c r="C49" s="23" t="s">
        <v>986</v>
      </c>
      <c r="D49" s="24" t="n">
        <v>0.315</v>
      </c>
      <c r="E49" s="24" t="n">
        <v>17.8373785804877</v>
      </c>
      <c r="F49" s="12" t="n">
        <v>1</v>
      </c>
      <c r="G49" s="12" t="n">
        <v>2</v>
      </c>
      <c r="H49" s="12" t="n">
        <v>0</v>
      </c>
      <c r="I49" s="12" t="n">
        <v>0</v>
      </c>
      <c r="J49" s="12" t="n">
        <v>3</v>
      </c>
      <c r="K49" s="12" t="n">
        <v>0</v>
      </c>
      <c r="L49" s="12" t="n">
        <v>0</v>
      </c>
      <c r="M49" s="12" t="n">
        <v>1</v>
      </c>
      <c r="N49" s="12" t="n">
        <v>1</v>
      </c>
      <c r="O49" s="12" t="n">
        <v>2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7</v>
      </c>
      <c r="V49" s="12" t="n">
        <v>0</v>
      </c>
      <c r="W49" s="8" t="n">
        <f aca="false">E49*((D49+2*WS_PIPE)*(D49+SURR_ABOVE)-PI()*D49^2/4)</f>
        <v>24.005434701203</v>
      </c>
      <c r="X49" s="12" t="n">
        <v>0</v>
      </c>
      <c r="Y49" s="12" t="n">
        <v>0</v>
      </c>
      <c r="Z49" s="12" t="n">
        <v>0</v>
      </c>
      <c r="AA49" s="12" t="n">
        <v>1</v>
      </c>
    </row>
    <row r="50" customFormat="false" ht="15" hidden="false" customHeight="false" outlineLevel="0" collapsed="false">
      <c r="A50" s="6" t="s">
        <v>899</v>
      </c>
      <c r="E50" s="10" t="n">
        <f aca="false">SUM(E5:E49)</f>
        <v>8168.83023764184</v>
      </c>
      <c r="F50" s="10" t="n">
        <f aca="false">SUM(F5:F49)</f>
        <v>201</v>
      </c>
      <c r="G50" s="10" t="n">
        <f aca="false">SUM(G5:G49)</f>
        <v>90</v>
      </c>
      <c r="H50" s="10" t="n">
        <f aca="false">SUM(H5:H49)</f>
        <v>27</v>
      </c>
      <c r="I50" s="10" t="n">
        <f aca="false">SUM(I5:I49)</f>
        <v>219</v>
      </c>
      <c r="J50" s="10" t="n">
        <f aca="false">SUM(J5:J49)</f>
        <v>88</v>
      </c>
      <c r="K50" s="10" t="n">
        <f aca="false">SUM(K5:K49)</f>
        <v>58</v>
      </c>
      <c r="L50" s="10" t="n">
        <f aca="false">SUM(L5:L49)</f>
        <v>43</v>
      </c>
      <c r="M50" s="10" t="n">
        <f aca="false">SUM(M5:M49)</f>
        <v>27</v>
      </c>
      <c r="N50" s="10" t="n">
        <f aca="false">SUM(N5:N49)</f>
        <v>10</v>
      </c>
      <c r="O50" s="10" t="n">
        <f aca="false">SUM(O5:O49)</f>
        <v>2</v>
      </c>
      <c r="P50" s="10" t="n">
        <f aca="false">SUM(P5:P49)</f>
        <v>104633.082954158</v>
      </c>
      <c r="Q50" s="10" t="n">
        <f aca="false">SUM(Q5:Q49)</f>
        <v>29959.9607418467</v>
      </c>
      <c r="R50" s="10" t="n">
        <f aca="false">SUM(R5:R49)</f>
        <v>116308.607642288</v>
      </c>
      <c r="S50" s="10" t="n">
        <f aca="false">SUM(S5:S49)</f>
        <v>13123.186600076</v>
      </c>
      <c r="T50" s="10" t="n">
        <f aca="false">SUM(T5:T49)</f>
        <v>11770.1362207214</v>
      </c>
      <c r="U50" s="10" t="n">
        <f aca="false">SUM(U5:U49)</f>
        <v>5788</v>
      </c>
      <c r="V50" s="10" t="n">
        <f aca="false">SUM(V5:V49)</f>
        <v>97445.5446044473</v>
      </c>
      <c r="W50" s="10" t="n">
        <f aca="false">SUM(W5:W49)</f>
        <v>51302.3561312743</v>
      </c>
      <c r="X50" s="10" t="n">
        <f aca="false">SUM(X5:X49)</f>
        <v>8132.43051226397</v>
      </c>
      <c r="Y50" s="10" t="n">
        <f aca="false">SUM(Y5:Y49)</f>
        <v>16981</v>
      </c>
      <c r="Z50" s="10" t="n">
        <f aca="false">SUM(Z5:Z49)</f>
        <v>601.117147283627</v>
      </c>
      <c r="AA50" s="10" t="n">
        <f aca="false">SUM(AA5:AA49)</f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987</v>
      </c>
    </row>
    <row r="3" customFormat="false" ht="31.5" hidden="false" customHeight="true" outlineLevel="0" collapsed="false">
      <c r="A3" s="5" t="s">
        <v>130</v>
      </c>
      <c r="B3" s="5" t="s">
        <v>988</v>
      </c>
    </row>
    <row r="4" customFormat="false" ht="23.85" hidden="false" customHeight="false" outlineLevel="0" collapsed="false">
      <c r="A4" s="28" t="s">
        <v>989</v>
      </c>
      <c r="B4" s="15" t="s">
        <v>990</v>
      </c>
    </row>
    <row r="5" customFormat="false" ht="23.85" hidden="false" customHeight="false" outlineLevel="0" collapsed="false">
      <c r="A5" s="28" t="s">
        <v>991</v>
      </c>
      <c r="B5" s="15" t="s">
        <v>992</v>
      </c>
    </row>
    <row r="6" customFormat="false" ht="23.85" hidden="false" customHeight="false" outlineLevel="0" collapsed="false">
      <c r="A6" s="28" t="s">
        <v>993</v>
      </c>
      <c r="B6" s="15" t="s">
        <v>994</v>
      </c>
    </row>
    <row r="7" customFormat="false" ht="15" hidden="false" customHeight="false" outlineLevel="0" collapsed="false">
      <c r="A7" s="28" t="s">
        <v>995</v>
      </c>
      <c r="B7" s="15" t="s">
        <v>996</v>
      </c>
    </row>
    <row r="8" customFormat="false" ht="15" hidden="false" customHeight="false" outlineLevel="0" collapsed="false">
      <c r="A8" s="28" t="s">
        <v>997</v>
      </c>
      <c r="B8" s="15" t="s">
        <v>998</v>
      </c>
    </row>
    <row r="9" customFormat="false" ht="15" hidden="false" customHeight="false" outlineLevel="0" collapsed="false">
      <c r="A9" s="28" t="s">
        <v>999</v>
      </c>
      <c r="B9" s="15" t="s">
        <v>1000</v>
      </c>
    </row>
    <row r="10" customFormat="false" ht="15" hidden="false" customHeight="false" outlineLevel="0" collapsed="false">
      <c r="A10" s="28" t="s">
        <v>100</v>
      </c>
      <c r="B10" s="15" t="s">
        <v>1001</v>
      </c>
    </row>
    <row r="11" customFormat="false" ht="15" hidden="false" customHeight="false" outlineLevel="0" collapsed="false">
      <c r="A11" s="28" t="s">
        <v>1002</v>
      </c>
      <c r="B11" s="15" t="s">
        <v>1003</v>
      </c>
    </row>
    <row r="12" customFormat="false" ht="23.85" hidden="false" customHeight="false" outlineLevel="0" collapsed="false">
      <c r="A12" s="28" t="s">
        <v>1004</v>
      </c>
      <c r="B12" s="15" t="s">
        <v>1005</v>
      </c>
    </row>
    <row r="13" customFormat="false" ht="15" hidden="false" customHeight="false" outlineLevel="0" collapsed="false">
      <c r="A13" s="28" t="s">
        <v>1006</v>
      </c>
      <c r="B13" s="15" t="s">
        <v>1007</v>
      </c>
    </row>
    <row r="14" customFormat="false" ht="15" hidden="false" customHeight="false" outlineLevel="0" collapsed="false">
      <c r="A14" s="28" t="s">
        <v>1008</v>
      </c>
      <c r="B14" s="15" t="s">
        <v>1009</v>
      </c>
    </row>
    <row r="15" customFormat="false" ht="15" hidden="false" customHeight="false" outlineLevel="0" collapsed="false">
      <c r="A15" s="28" t="s">
        <v>1010</v>
      </c>
      <c r="B15" s="15" t="s">
        <v>1011</v>
      </c>
    </row>
    <row r="16" customFormat="false" ht="15" hidden="false" customHeight="false" outlineLevel="0" collapsed="false">
      <c r="A16" s="28" t="s">
        <v>1012</v>
      </c>
      <c r="B16" s="15" t="s">
        <v>1013</v>
      </c>
    </row>
    <row r="17" customFormat="false" ht="15" hidden="false" customHeight="false" outlineLevel="0" collapsed="false">
      <c r="A17" s="28" t="s">
        <v>1014</v>
      </c>
      <c r="B17" s="15" t="s">
        <v>1015</v>
      </c>
    </row>
    <row r="18" customFormat="false" ht="23.85" hidden="false" customHeight="false" outlineLevel="0" collapsed="false">
      <c r="A18" s="28" t="s">
        <v>1016</v>
      </c>
      <c r="B18" s="15" t="s">
        <v>1017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2026-10-22T11:06:42Z</dcterms:created>
  <dc:creator>openpyxl</dc:creator>
  <dc:description/>
  <dc:language>en-US</dc:language>
  <cp:lastModifiedBy/>
  <dcterms:modified xsi:type="dcterms:W3CDTF">2026-10-22T11:06:43Z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